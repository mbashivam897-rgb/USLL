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Historicals" sheetId="3" state="visible" r:id="rId3"/>
    <sheet name="Debt Schedule" sheetId="4" state="visible" r:id="rId4"/>
    <sheet name="Cash Schedule" sheetId="5" state="visible" r:id="rId5"/>
    <sheet name="Output Summary" sheetId="6" state="visible" r:id="rId6"/>
  </sheets>
  <definedNames/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#,##0.0;(#,##0.0)"/>
    <numFmt numFmtId="165" formatCode="0.0%"/>
    <numFmt numFmtId="166" formatCode="0.00&quot;x&quot;"/>
    <numFmt numFmtId="167" formatCode="0.0&quot;x&quot;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1F3864"/>
      <sz val="11"/>
    </font>
    <font>
      <color rgb="00000000"/>
    </font>
    <font>
      <b val="1"/>
      <color rgb="00000000"/>
    </font>
    <font>
      <b val="1"/>
      <color rgb="001F3864"/>
    </font>
    <font>
      <b val="1"/>
      <color rgb="00C00000"/>
    </font>
    <font>
      <name val="Calibri"/>
      <b val="1"/>
      <color rgb="00FFFFFF"/>
      <sz val="16"/>
    </font>
    <font>
      <i val="1"/>
      <color rgb="00808080"/>
      <sz val="8"/>
    </font>
    <font>
      <b val="1"/>
      <color rgb="00FFFFFF"/>
      <sz val="10"/>
    </font>
    <font>
      <color rgb="00000000"/>
      <sz val="10"/>
    </font>
    <font>
      <color rgb="000000CC"/>
    </font>
    <font>
      <color rgb="00595959"/>
      <sz val="8"/>
    </font>
    <font>
      <b val="1"/>
    </font>
    <font>
      <color rgb="000000CC"/>
      <sz val="9"/>
    </font>
    <font>
      <color rgb="00000000"/>
      <sz val="9"/>
    </font>
    <font>
      <i val="1"/>
      <color rgb="00595959"/>
      <sz val="9"/>
    </font>
    <font>
      <b val="1"/>
      <color rgb="00000000"/>
      <sz val="10"/>
    </font>
    <font>
      <b val="1"/>
      <color rgb="00548235"/>
    </font>
    <font>
      <b val="1"/>
      <color rgb="00C00000"/>
      <sz val="10"/>
    </font>
    <font>
      <color rgb="00808080"/>
    </font>
    <font>
      <color rgb="00548235"/>
      <sz val="10"/>
    </font>
    <font>
      <color rgb="00C00000"/>
      <sz val="10"/>
    </font>
    <font>
      <color rgb="00548235"/>
    </font>
    <font>
      <color rgb="00C00000"/>
    </font>
    <font>
      <b val="1"/>
      <color rgb="00548235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0" pivotButton="0" quotePrefix="0" xfId="0"/>
    <xf numFmtId="0" fontId="0" fillId="4" borderId="0" pivotButton="0" quotePrefix="0" xfId="0"/>
    <xf numFmtId="0" fontId="10" fillId="0" borderId="0" applyAlignment="1" pivotButton="0" quotePrefix="0" xfId="0">
      <alignment vertical="center" indent="1"/>
    </xf>
    <xf numFmtId="164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vertical="center" wrapText="1"/>
    </xf>
    <xf numFmtId="165" fontId="11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center" indent="1"/>
    </xf>
    <xf numFmtId="164" fontId="4" fillId="0" borderId="0" applyAlignment="1" pivotButton="0" quotePrefix="0" xfId="0">
      <alignment horizontal="right"/>
    </xf>
    <xf numFmtId="0" fontId="13" fillId="0" borderId="0" applyAlignment="1" pivotButton="0" quotePrefix="0" xfId="0">
      <alignment vertical="center" indent="1"/>
    </xf>
    <xf numFmtId="165" fontId="3" fillId="0" borderId="0" applyAlignment="1" pivotButton="0" quotePrefix="0" xfId="0">
      <alignment horizontal="right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1"/>
    </xf>
    <xf numFmtId="0" fontId="18" fillId="0" borderId="0" applyAlignment="1" pivotButton="0" quotePrefix="0" xfId="0">
      <alignment vertical="center" indent="1"/>
    </xf>
    <xf numFmtId="0" fontId="19" fillId="0" borderId="0" applyAlignment="1" pivotButton="0" quotePrefix="0" xfId="0">
      <alignment vertical="center" indent="1"/>
    </xf>
    <xf numFmtId="164" fontId="6" fillId="0" borderId="0" applyAlignment="1" pivotButton="0" quotePrefix="0" xfId="0">
      <alignment horizontal="right"/>
    </xf>
    <xf numFmtId="164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 indent="1"/>
    </xf>
    <xf numFmtId="164" fontId="23" fillId="0" borderId="0" applyAlignment="1" pivotButton="0" quotePrefix="0" xfId="0">
      <alignment horizontal="right"/>
    </xf>
    <xf numFmtId="0" fontId="22" fillId="0" borderId="0" applyAlignment="1" pivotButton="0" quotePrefix="0" xfId="0">
      <alignment vertical="center" indent="1"/>
    </xf>
    <xf numFmtId="164" fontId="24" fillId="0" borderId="0" applyAlignment="1" pivotButton="0" quotePrefix="0" xfId="0">
      <alignment horizontal="right"/>
    </xf>
    <xf numFmtId="0" fontId="25" fillId="0" borderId="0" applyAlignment="1" pivotButton="0" quotePrefix="0" xfId="0">
      <alignment vertical="center" indent="1"/>
    </xf>
    <xf numFmtId="164" fontId="18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 indent="2"/>
    </xf>
    <xf numFmtId="166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 xml:space="preserve">  UNITED SPIRITS LIMITED (USL)  |  Debt Schedule &amp; Cash Schedule</t>
        </is>
      </c>
    </row>
    <row r="2"/>
    <row r="3">
      <c r="A3" s="2" t="inlineStr">
        <is>
          <t>Consolidated  |  Interest computation model  |  All figures in Rs crore unless stated</t>
        </is>
      </c>
    </row>
    <row r="5">
      <c r="A5" s="3" t="inlineStr"/>
      <c r="B5" s="4" t="inlineStr"/>
    </row>
    <row r="6">
      <c r="A6" s="5" t="inlineStr">
        <is>
          <t>Prepared by</t>
        </is>
      </c>
      <c r="B6" s="4" t="inlineStr">
        <is>
          <t>Equity Research – Financial Modelling</t>
        </is>
      </c>
    </row>
    <row r="7">
      <c r="A7" s="5" t="inlineStr">
        <is>
          <t>Company</t>
        </is>
      </c>
      <c r="B7" s="4" t="inlineStr">
        <is>
          <t>United Spirits Limited (a Diageo Group company), NSE/BSE: UNITDSPR / 532432</t>
        </is>
      </c>
    </row>
    <row r="8">
      <c r="A8" s="5" t="inlineStr">
        <is>
          <t>Reporting currency</t>
        </is>
      </c>
      <c r="B8" s="4" t="inlineStr">
        <is>
          <t>Indian Rupee (Rs), figures in Rs crore (1 crore = 10 million)</t>
        </is>
      </c>
    </row>
    <row r="9">
      <c r="A9" s="5" t="inlineStr">
        <is>
          <t>Historical period</t>
        </is>
      </c>
      <c r="B9" s="4" t="inlineStr">
        <is>
          <t>FY2022 to FY2025 (year ended 31 March) - Actuals</t>
        </is>
      </c>
    </row>
    <row r="10">
      <c r="A10" s="5" t="inlineStr">
        <is>
          <t>Forecast period</t>
        </is>
      </c>
      <c r="B10" s="4" t="inlineStr">
        <is>
          <t>FY2026 to FY2030 (year ended 31 March) - Estimates</t>
        </is>
      </c>
    </row>
    <row r="11">
      <c r="A11" s="5" t="inlineStr">
        <is>
          <t>Primary sources</t>
        </is>
      </c>
      <c r="B11" s="4" t="inlineStr">
        <is>
          <t>USL Integrated Annual Report FY2022-23 (figures in Rs million) and FY2024-25 (figures in Rs crore)</t>
        </is>
      </c>
    </row>
    <row r="12">
      <c r="A12" s="3" t="inlineStr"/>
      <c r="B12" s="4" t="inlineStr"/>
    </row>
    <row r="13">
      <c r="A13" s="6" t="inlineStr">
        <is>
          <t>KEY INSIGHT</t>
        </is>
      </c>
      <c r="B13" s="7" t="inlineStr">
        <is>
          <t>USL is structurally NET-CASH / debt-free. Its only contractual borrowings are negligible;</t>
        </is>
      </c>
    </row>
    <row r="14">
      <c r="A14" s="3" t="inlineStr"/>
      <c r="B14" s="4" t="inlineStr">
        <is>
          <t>the material interest-bearing item is LEASE LIABILITIES under Ind AS 116.</t>
        </is>
      </c>
    </row>
    <row r="15">
      <c r="A15" s="3" t="inlineStr"/>
      <c r="B15" s="4" t="inlineStr">
        <is>
          <t>Per FY23 AR: "As the Company is debt-free, exposure to interest rate risk is negligible."</t>
        </is>
      </c>
    </row>
    <row r="16">
      <c r="A16" s="3" t="inlineStr"/>
      <c r="B16" s="4" t="inlineStr"/>
    </row>
    <row r="17">
      <c r="A17" s="5" t="inlineStr">
        <is>
          <t>Workbook structure</t>
        </is>
      </c>
      <c r="B17" s="4" t="inlineStr"/>
    </row>
    <row r="18">
      <c r="A18" s="3" t="inlineStr">
        <is>
          <t xml:space="preserve">  1. Cover</t>
        </is>
      </c>
      <c r="B18" s="4" t="inlineStr">
        <is>
          <t>This sheet</t>
        </is>
      </c>
    </row>
    <row r="19">
      <c r="A19" s="3" t="inlineStr">
        <is>
          <t xml:space="preserve">  2. Assumptions</t>
        </is>
      </c>
      <c r="B19" s="4" t="inlineStr">
        <is>
          <t>All forecast drivers (blue font = input) with justifications</t>
        </is>
      </c>
    </row>
    <row r="20">
      <c r="A20" s="3" t="inlineStr">
        <is>
          <t xml:space="preserve">  3. Historicals</t>
        </is>
      </c>
      <c r="B20" s="4" t="inlineStr">
        <is>
          <t>Reconstructed consolidated financials FY22A-FY25A from the annual reports</t>
        </is>
      </c>
    </row>
    <row r="21">
      <c r="A21" s="3" t="inlineStr">
        <is>
          <t xml:space="preserve">  4. Debt Schedule</t>
        </is>
      </c>
      <c r="B21" s="4" t="inlineStr">
        <is>
          <t>Lease liabilities + borrowings roll-forward; computes INTEREST EXPENSE / finance cost</t>
        </is>
      </c>
    </row>
    <row r="22">
      <c r="A22" s="3" t="inlineStr">
        <is>
          <t xml:space="preserve">  5. Cash Schedule</t>
        </is>
      </c>
      <c r="B22" s="4" t="inlineStr">
        <is>
          <t>Free-cash-flow build, treasury (cash+deposits+MF) roll; computes INTEREST INCOME</t>
        </is>
      </c>
    </row>
    <row r="23">
      <c r="A23" s="3" t="inlineStr">
        <is>
          <t xml:space="preserve">  6. Output Summary</t>
        </is>
      </c>
      <c r="B23" s="4" t="inlineStr">
        <is>
          <t>Total debt, net debt, net interest, leverage &amp; coverage ratios</t>
        </is>
      </c>
    </row>
    <row r="24">
      <c r="A24" s="3" t="inlineStr"/>
      <c r="B24" s="4" t="inlineStr"/>
    </row>
    <row r="25">
      <c r="A25" s="5" t="inlineStr">
        <is>
          <t>Convention</t>
        </is>
      </c>
      <c r="B25" s="4" t="inlineStr">
        <is>
          <t>Lease interest = rate x average lease balance. Interest income = yield x opening treasury</t>
        </is>
      </c>
    </row>
    <row r="26">
      <c r="A26" s="3" t="inlineStr"/>
      <c r="B26" s="4" t="inlineStr">
        <is>
          <t>(both non-circular). Blue figures are hard-coded inputs; black figures are formulas.</t>
        </is>
      </c>
    </row>
  </sheetData>
  <mergeCells count="24">
    <mergeCell ref="B9:K9"/>
    <mergeCell ref="B15:K15"/>
    <mergeCell ref="B6:K6"/>
    <mergeCell ref="B24:K24"/>
    <mergeCell ref="B20:K20"/>
    <mergeCell ref="B5:K5"/>
    <mergeCell ref="B26:K26"/>
    <mergeCell ref="B7:K7"/>
    <mergeCell ref="B25:K25"/>
    <mergeCell ref="B16:K16"/>
    <mergeCell ref="B22:K22"/>
    <mergeCell ref="A3:K3"/>
    <mergeCell ref="B18:K18"/>
    <mergeCell ref="B21:K21"/>
    <mergeCell ref="B12:K12"/>
    <mergeCell ref="B11:K11"/>
    <mergeCell ref="A1:K2"/>
    <mergeCell ref="B23:K23"/>
    <mergeCell ref="B8:K8"/>
    <mergeCell ref="B14:K14"/>
    <mergeCell ref="B17:K17"/>
    <mergeCell ref="B13:K13"/>
    <mergeCell ref="B10:K10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A1:L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70" customWidth="1" min="12" max="12"/>
  </cols>
  <sheetData>
    <row r="1">
      <c r="A1" s="8" t="inlineStr">
        <is>
          <t xml:space="preserve">  ASSUMPTIONS  (blue = input)   -   Rs crore unless stated</t>
        </is>
      </c>
    </row>
    <row r="3">
      <c r="A3" s="9" t="inlineStr">
        <is>
          <t>Rs crore</t>
        </is>
      </c>
      <c r="C3" s="10" t="inlineStr">
        <is>
          <t>FY22A</t>
        </is>
      </c>
      <c r="D3" s="10" t="inlineStr">
        <is>
          <t>FY23A</t>
        </is>
      </c>
      <c r="E3" s="10" t="inlineStr">
        <is>
          <t>FY24A</t>
        </is>
      </c>
      <c r="F3" s="10" t="inlineStr">
        <is>
          <t>FY25A</t>
        </is>
      </c>
      <c r="G3" s="11" t="inlineStr">
        <is>
          <t>FY26E</t>
        </is>
      </c>
      <c r="H3" s="11" t="inlineStr">
        <is>
          <t>FY27E</t>
        </is>
      </c>
      <c r="I3" s="11" t="inlineStr">
        <is>
          <t>FY28E</t>
        </is>
      </c>
      <c r="J3" s="11" t="inlineStr">
        <is>
          <t>FY29E</t>
        </is>
      </c>
      <c r="K3" s="11" t="inlineStr">
        <is>
          <t>FY30E</t>
        </is>
      </c>
      <c r="L3" s="11" t="inlineStr">
        <is>
          <t>Justification / basis</t>
        </is>
      </c>
    </row>
    <row r="4">
      <c r="A4" s="12" t="inlineStr">
        <is>
          <t>OPERATING DRIVERS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4" t="inlineStr">
        <is>
          <t>Net sales (ex-excise) - actual</t>
        </is>
      </c>
      <c r="C5" s="15" t="n">
        <v>9712.4</v>
      </c>
      <c r="D5" s="15" t="n">
        <v>10611.6</v>
      </c>
      <c r="E5" s="15" t="n">
        <v>11321</v>
      </c>
      <c r="F5" s="15" t="n">
        <v>12069</v>
      </c>
      <c r="L5" s="16" t="inlineStr">
        <is>
          <t>From P&amp;L: Revenue from operations less Excise duty. FY22-23 converted from Rs mn (AR FY23); FY24-25 from AR FY25.</t>
        </is>
      </c>
    </row>
    <row r="6">
      <c r="A6" s="14" t="inlineStr">
        <is>
          <t xml:space="preserve">  Net sales growth %</t>
        </is>
      </c>
      <c r="D6" s="17">
        <f>D5/C5-1</f>
        <v/>
      </c>
      <c r="E6" s="17">
        <f>E5/D5-1</f>
        <v/>
      </c>
      <c r="F6" s="17">
        <f>F5/E5-1</f>
        <v/>
      </c>
      <c r="G6" s="17" t="n">
        <v>0.095</v>
      </c>
      <c r="H6" s="17" t="n">
        <v>0.1</v>
      </c>
      <c r="I6" s="17" t="n">
        <v>0.1</v>
      </c>
      <c r="J6" s="17" t="n">
        <v>0.09</v>
      </c>
      <c r="K6" s="17" t="n">
        <v>0.09</v>
      </c>
      <c r="L6" s="16" t="inlineStr">
        <is>
          <t>FY26-30 inputs. USL reaffirmed double-digit topline guidance; premiumization (P&amp;A ~90% of mix). Industry premium-spirits value CAGR ~12%, IMFL value ~13%; kept conservative for state excise/regulatory risk.</t>
        </is>
      </c>
    </row>
    <row r="7">
      <c r="A7" s="14" t="inlineStr">
        <is>
          <t xml:space="preserve">  EBITDA margin (% of net sales)</t>
        </is>
      </c>
      <c r="C7" s="17" t="n">
        <v>0.166</v>
      </c>
      <c r="D7" s="17" t="n">
        <v>0.133</v>
      </c>
      <c r="E7" s="17" t="n">
        <v>0.177</v>
      </c>
      <c r="F7" s="17" t="n">
        <v>0.185</v>
      </c>
      <c r="G7" s="17" t="n">
        <v>0.19</v>
      </c>
      <c r="H7" s="17" t="n">
        <v>0.195</v>
      </c>
      <c r="I7" s="17" t="n">
        <v>0.2</v>
      </c>
      <c r="J7" s="17" t="n">
        <v>0.205</v>
      </c>
      <c r="K7" s="17" t="n">
        <v>0.21</v>
      </c>
      <c r="L7" s="16" t="inlineStr">
        <is>
          <t>Hist derived (FY23 dip = input-cost inflation). FY26-30 expansion on premiumization &amp; operating leverage (H1FY26 reported EBITDA +31%).</t>
        </is>
      </c>
    </row>
    <row r="8">
      <c r="A8" s="14" t="inlineStr">
        <is>
          <t>Depreciation &amp; amortisation</t>
        </is>
      </c>
      <c r="C8" s="18" t="n">
        <v>303.8</v>
      </c>
      <c r="D8" s="18" t="n">
        <v>282.5</v>
      </c>
      <c r="E8" s="18" t="n">
        <v>275</v>
      </c>
      <c r="F8" s="18" t="n">
        <v>283</v>
      </c>
      <c r="G8" s="15" t="n">
        <v>290</v>
      </c>
      <c r="H8" s="15" t="n">
        <v>300</v>
      </c>
      <c r="I8" s="15" t="n">
        <v>315</v>
      </c>
      <c r="J8" s="15" t="n">
        <v>330</v>
      </c>
      <c r="K8" s="15" t="n">
        <v>345</v>
      </c>
      <c r="L8" s="16" t="inlineStr">
        <is>
          <t>Hist actual. Forecast grows with capex &amp; rising ROU asset base (Ind AS 116).</t>
        </is>
      </c>
    </row>
    <row r="9">
      <c r="A9" s="14" t="inlineStr">
        <is>
          <t>Effective tax rate %</t>
        </is>
      </c>
      <c r="C9" s="17" t="n">
        <v>0.254</v>
      </c>
      <c r="D9" s="17" t="n">
        <v>0.119</v>
      </c>
      <c r="E9" s="17" t="n">
        <v>0.242</v>
      </c>
      <c r="F9" s="17" t="n">
        <v>0.259</v>
      </c>
      <c r="G9" s="17" t="n">
        <v>0.255</v>
      </c>
      <c r="H9" s="17" t="n">
        <v>0.255</v>
      </c>
      <c r="I9" s="17" t="n">
        <v>0.255</v>
      </c>
      <c r="J9" s="17" t="n">
        <v>0.255</v>
      </c>
      <c r="K9" s="17" t="n">
        <v>0.255</v>
      </c>
      <c r="L9" s="16" t="inlineStr">
        <is>
          <t>Hist actual (FY23 low due to prior-year credits). ~25.5% normalised (India corporate rate).</t>
        </is>
      </c>
    </row>
    <row r="10">
      <c r="A10" s="14" t="inlineStr">
        <is>
          <t>Dividend payout (% of PAT)</t>
        </is>
      </c>
      <c r="C10" s="17" t="n">
        <v>0</v>
      </c>
      <c r="D10" s="17" t="n">
        <v>0</v>
      </c>
      <c r="E10" s="17" t="n">
        <v>0.202</v>
      </c>
      <c r="F10" s="17" t="n">
        <v>0.224</v>
      </c>
      <c r="G10" s="17" t="n">
        <v>0.3</v>
      </c>
      <c r="H10" s="17" t="n">
        <v>0.3</v>
      </c>
      <c r="I10" s="17" t="n">
        <v>0.3</v>
      </c>
      <c r="J10" s="17" t="n">
        <v>0.3</v>
      </c>
      <c r="K10" s="17" t="n">
        <v>0.3</v>
      </c>
      <c r="L10" s="16" t="inlineStr">
        <is>
          <t>USL resumed dividends FY24. Rising payout assumed as company is cash-generative &amp; net-cash.</t>
        </is>
      </c>
    </row>
    <row r="11">
      <c r="A11" s="14" t="inlineStr">
        <is>
          <t>Working-capital outflow (% of net-sales increase)</t>
        </is>
      </c>
      <c r="G11" s="17" t="n">
        <v>0.05</v>
      </c>
      <c r="H11" s="17" t="n">
        <v>0.05</v>
      </c>
      <c r="I11" s="17" t="n">
        <v>0.05</v>
      </c>
      <c r="J11" s="17" t="n">
        <v>0.05</v>
      </c>
      <c r="K11" s="17" t="n">
        <v>0.05</v>
      </c>
      <c r="L11" s="16" t="inlineStr">
        <is>
          <t>Incremental net working-capital investment as sales grow (inventory/receivables drag), funded internally.</t>
        </is>
      </c>
    </row>
    <row r="12">
      <c r="A12" s="14" t="inlineStr">
        <is>
          <t>Capex (PP&amp;E + intangibles)</t>
        </is>
      </c>
      <c r="C12" s="18" t="n">
        <v>134</v>
      </c>
      <c r="D12" s="18" t="n">
        <v>136.6</v>
      </c>
      <c r="E12" s="18" t="n">
        <v>150</v>
      </c>
      <c r="F12" s="18" t="n">
        <v>160</v>
      </c>
      <c r="G12" s="15" t="n">
        <v>175</v>
      </c>
      <c r="H12" s="15" t="n">
        <v>200</v>
      </c>
      <c r="I12" s="15" t="n">
        <v>225</v>
      </c>
      <c r="J12" s="15" t="n">
        <v>250</v>
      </c>
      <c r="K12" s="15" t="n">
        <v>250</v>
      </c>
      <c r="L12" s="16" t="inlineStr">
        <is>
          <t>Hist actual/estimate. Forecast: capacity, premiumization &amp; supply-restructuring; asset-light model keeps capex modest.</t>
        </is>
      </c>
    </row>
    <row r="14">
      <c r="A14" s="12" t="inlineStr">
        <is>
          <t>DEBT / LEASE DRIVERS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4" t="inlineStr">
        <is>
          <t>Lease incremental borrowing rate %</t>
        </is>
      </c>
      <c r="C15" s="17" t="n">
        <v>0.08500000000000001</v>
      </c>
      <c r="D15" s="17" t="n">
        <v>0.08500000000000001</v>
      </c>
      <c r="E15" s="17" t="n">
        <v>0.08500000000000001</v>
      </c>
      <c r="F15" s="17" t="n">
        <v>0.08500000000000001</v>
      </c>
      <c r="G15" s="17" t="n">
        <v>0.08500000000000001</v>
      </c>
      <c r="H15" s="17" t="n">
        <v>0.08500000000000001</v>
      </c>
      <c r="I15" s="17" t="n">
        <v>0.08500000000000001</v>
      </c>
      <c r="J15" s="17" t="n">
        <v>0.08500000000000001</v>
      </c>
      <c r="K15" s="17" t="n">
        <v>0.08500000000000001</v>
      </c>
      <c r="L15" s="16" t="inlineStr">
        <is>
          <t>Ind AS 116 discount rate. Implied FY25 lease interest 40 / avg lease ~360 = ~8-9%. Held at 8.5%.</t>
        </is>
      </c>
    </row>
    <row r="16">
      <c r="A16" s="14" t="inlineStr">
        <is>
          <t>New lease additions (ROU)</t>
        </is>
      </c>
      <c r="C16" s="18" t="n">
        <v>229.2</v>
      </c>
      <c r="D16" s="18" t="n">
        <v>85.8</v>
      </c>
      <c r="E16" s="18" t="n">
        <v>184</v>
      </c>
      <c r="F16" s="18" t="n">
        <v>394</v>
      </c>
      <c r="G16" s="15" t="n">
        <v>200</v>
      </c>
      <c r="H16" s="15" t="n">
        <v>190</v>
      </c>
      <c r="I16" s="15" t="n">
        <v>190</v>
      </c>
      <c r="J16" s="15" t="n">
        <v>200</v>
      </c>
      <c r="K16" s="15" t="n">
        <v>210</v>
      </c>
      <c r="L16" s="16" t="inlineStr">
        <is>
          <t>Hist actual (FY25 spike 394 = plant &amp; equipment leases). Forecast normalised to recurring warehouse/plant leases.</t>
        </is>
      </c>
    </row>
    <row r="17">
      <c r="A17" s="14" t="inlineStr">
        <is>
          <t>Lease principal repayment</t>
        </is>
      </c>
      <c r="C17" s="18" t="n">
        <v>100.2</v>
      </c>
      <c r="D17" s="18" t="n">
        <v>124</v>
      </c>
      <c r="E17" s="18" t="n">
        <v>126</v>
      </c>
      <c r="F17" s="18" t="n">
        <v>137</v>
      </c>
      <c r="G17" s="15" t="n">
        <v>150</v>
      </c>
      <c r="H17" s="15" t="n">
        <v>160</v>
      </c>
      <c r="I17" s="15" t="n">
        <v>170</v>
      </c>
      <c r="J17" s="15" t="n">
        <v>180</v>
      </c>
      <c r="K17" s="15" t="n">
        <v>190</v>
      </c>
      <c r="L17" s="16" t="inlineStr">
        <is>
          <t>Hist actual (financing CF). Forecast grows with the larger lease book.</t>
        </is>
      </c>
    </row>
    <row r="18">
      <c r="A18" s="14" t="inlineStr">
        <is>
          <t>Lease terminations / adjustments</t>
        </is>
      </c>
      <c r="C18" s="18" t="n">
        <v>0</v>
      </c>
      <c r="D18" s="18" t="n">
        <v>0</v>
      </c>
      <c r="E18" s="18" t="n">
        <v>0</v>
      </c>
      <c r="F18" s="18" t="n">
        <v>17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6" t="inlineStr">
        <is>
          <t>FY25 had Rs 17 cr lease terminations (ROU note). None assumed forward.</t>
        </is>
      </c>
    </row>
    <row r="19">
      <c r="A19" s="14" t="inlineStr">
        <is>
          <t>Borrowings - opening (FY22 only)</t>
        </is>
      </c>
      <c r="C19" s="15" t="n">
        <v>497</v>
      </c>
      <c r="L19" s="16" t="inlineStr">
        <is>
          <t>FY22 opening short-term/working-capital borrowings (repaid during FY22). Backed out from FY22 repayment &amp; closing.</t>
        </is>
      </c>
    </row>
    <row r="20">
      <c r="A20" s="14" t="inlineStr">
        <is>
          <t>Borrowings drawdown</t>
        </is>
      </c>
      <c r="C20" s="18" t="n">
        <v>0</v>
      </c>
      <c r="D20" s="18" t="n">
        <v>0</v>
      </c>
      <c r="E20" s="18" t="n">
        <v>25</v>
      </c>
      <c r="F20" s="18" t="n">
        <v>28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6" t="inlineStr">
        <is>
          <t>Hist actual working-capital loan draws. Nil forward: USL follows a debt-free policy with large undrawn facilities (~Rs 1,300 cr).</t>
        </is>
      </c>
    </row>
    <row r="21">
      <c r="A21" s="14" t="inlineStr">
        <is>
          <t>Borrowings repayment</t>
        </is>
      </c>
      <c r="C21" s="18" t="n">
        <v>537.7</v>
      </c>
      <c r="D21" s="18" t="n">
        <v>0.4</v>
      </c>
      <c r="E21" s="18" t="n">
        <v>0</v>
      </c>
      <c r="F21" s="18" t="n">
        <v>53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6" t="inlineStr">
        <is>
          <t>Hist actual. (FY22 repaid Rs 537.7 cr working-capital loans; FY25 repaid Rs 53 cr.)</t>
        </is>
      </c>
    </row>
    <row r="22">
      <c r="A22" s="14" t="inlineStr">
        <is>
          <t>Interest rate on borrowings %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0.08500000000000001</v>
      </c>
      <c r="H22" s="17" t="n">
        <v>0.08500000000000001</v>
      </c>
      <c r="I22" s="17" t="n">
        <v>0.08500000000000001</v>
      </c>
      <c r="J22" s="17" t="n">
        <v>0.08500000000000001</v>
      </c>
      <c r="K22" s="17" t="n">
        <v>0.08500000000000001</v>
      </c>
      <c r="L22" s="16" t="inlineStr">
        <is>
          <t>Applied to average borrowings (nil forward, so no P&amp;L impact).</t>
        </is>
      </c>
    </row>
    <row r="23">
      <c r="A23" s="14" t="inlineStr">
        <is>
          <t>Other interest expense (non-lease)</t>
        </is>
      </c>
      <c r="C23" s="18" t="n">
        <v>76.09999999999999</v>
      </c>
      <c r="D23" s="18" t="n">
        <v>87.90000000000001</v>
      </c>
      <c r="E23" s="18" t="n">
        <v>55</v>
      </c>
      <c r="F23" s="18" t="n">
        <v>49</v>
      </c>
      <c r="G23" s="15" t="n">
        <v>47</v>
      </c>
      <c r="H23" s="15" t="n">
        <v>45</v>
      </c>
      <c r="I23" s="15" t="n">
        <v>43</v>
      </c>
      <c r="J23" s="15" t="n">
        <v>42</v>
      </c>
      <c r="K23" s="15" t="n">
        <v>40</v>
      </c>
      <c r="L23" s="16" t="inlineStr">
        <is>
          <t>Interest 'others' in finance-cost note (deferred sales-tax, MSME, unwinding of discount, bank charges). Held ~flat, easing.</t>
        </is>
      </c>
    </row>
    <row r="25">
      <c r="A25" s="12" t="inlineStr">
        <is>
          <t>CASH / TREASURY DRIVERS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4" t="inlineStr">
        <is>
          <t>Treasury yield (interest income) %</t>
        </is>
      </c>
      <c r="G26" s="17" t="n">
        <v>0.0675</v>
      </c>
      <c r="H26" s="17" t="n">
        <v>0.0675</v>
      </c>
      <c r="I26" s="17" t="n">
        <v>0.0675</v>
      </c>
      <c r="J26" s="17" t="n">
        <v>0.0675</v>
      </c>
      <c r="K26" s="17" t="n">
        <v>0.0675</v>
      </c>
      <c r="L26" s="16" t="inlineStr">
        <is>
          <t>Earned on cash + bank deposits + debt mutual funds. ~6.75% reflects Indian short-term debt/MF yields.</t>
        </is>
      </c>
    </row>
    <row r="27">
      <c r="A27" s="14" t="inlineStr">
        <is>
          <t>Non-interest other income (operating)</t>
        </is>
      </c>
      <c r="G27" s="15" t="n">
        <v>60</v>
      </c>
      <c r="H27" s="15" t="n">
        <v>65</v>
      </c>
      <c r="I27" s="15" t="n">
        <v>70</v>
      </c>
      <c r="J27" s="15" t="n">
        <v>75</v>
      </c>
      <c r="K27" s="15" t="n">
        <v>80</v>
      </c>
      <c r="L27" s="16" t="inlineStr">
        <is>
          <t>Recurring portion of 'Other income' excluding treasury interest (scrap sale, write-backs, misc.).</t>
        </is>
      </c>
    </row>
    <row r="29">
      <c r="A29" s="19" t="inlineStr">
        <is>
          <t>Legend:</t>
        </is>
      </c>
    </row>
    <row r="30">
      <c r="A30" s="20" t="inlineStr">
        <is>
          <t>Blue figures = hard-coded inputs/assumptions</t>
        </is>
      </c>
    </row>
    <row r="31">
      <c r="A31" s="21" t="inlineStr">
        <is>
          <t>Black figures = actuals or formula-driven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K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8" t="inlineStr">
        <is>
          <t xml:space="preserve">  HISTORICAL CONSOLIDATED FINANCIALS (as reported)   -   Rs crore</t>
        </is>
      </c>
    </row>
    <row r="2">
      <c r="A2" s="22" t="inlineStr">
        <is>
          <t>Source: USL Annual Reports FY2022-23 (Rs mn, /10) and FY2024-25 (Rs cr). Only actual columns populated.</t>
        </is>
      </c>
    </row>
    <row r="4">
      <c r="A4" s="9" t="inlineStr">
        <is>
          <t>Rs crore</t>
        </is>
      </c>
      <c r="C4" s="10" t="inlineStr">
        <is>
          <t>FY22A</t>
        </is>
      </c>
      <c r="D4" s="10" t="inlineStr">
        <is>
          <t>FY23A</t>
        </is>
      </c>
      <c r="E4" s="10" t="inlineStr">
        <is>
          <t>FY24A</t>
        </is>
      </c>
      <c r="F4" s="10" t="inlineStr">
        <is>
          <t>FY25A</t>
        </is>
      </c>
      <c r="G4" s="11" t="inlineStr">
        <is>
          <t>FY26E</t>
        </is>
      </c>
      <c r="H4" s="11" t="inlineStr">
        <is>
          <t>FY27E</t>
        </is>
      </c>
      <c r="I4" s="11" t="inlineStr">
        <is>
          <t>FY28E</t>
        </is>
      </c>
      <c r="J4" s="11" t="inlineStr">
        <is>
          <t>FY29E</t>
        </is>
      </c>
      <c r="K4" s="11" t="inlineStr">
        <is>
          <t>FY30E</t>
        </is>
      </c>
    </row>
    <row r="5">
      <c r="A5" s="12" t="inlineStr">
        <is>
          <t>PROFIT &amp; LOSS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14" t="inlineStr">
        <is>
          <t>Revenue from operations (gross, incl excise)</t>
        </is>
      </c>
      <c r="C6" s="18" t="n">
        <v>31061.8</v>
      </c>
      <c r="D6" s="18" t="n">
        <v>27815.4</v>
      </c>
      <c r="E6" s="18" t="n">
        <v>26018</v>
      </c>
      <c r="F6" s="18" t="n">
        <v>27276</v>
      </c>
    </row>
    <row r="7">
      <c r="A7" s="14" t="inlineStr">
        <is>
          <t>Less: Excise duty</t>
        </is>
      </c>
      <c r="C7" s="18" t="n">
        <v>21349.4</v>
      </c>
      <c r="D7" s="18" t="n">
        <v>17203.8</v>
      </c>
      <c r="E7" s="18" t="n">
        <v>14697</v>
      </c>
      <c r="F7" s="18" t="n">
        <v>15207</v>
      </c>
    </row>
    <row r="8">
      <c r="A8" s="23" t="inlineStr">
        <is>
          <t>Net sales (ex-excise)</t>
        </is>
      </c>
      <c r="C8" s="24">
        <f>C6-C7</f>
        <v/>
      </c>
      <c r="D8" s="24">
        <f>D6-D7</f>
        <v/>
      </c>
      <c r="E8" s="24">
        <f>E6-E7</f>
        <v/>
      </c>
      <c r="F8" s="24">
        <f>F6-F7</f>
        <v/>
      </c>
    </row>
    <row r="9">
      <c r="A9" s="14" t="inlineStr">
        <is>
          <t>Other income</t>
        </is>
      </c>
      <c r="C9" s="18" t="n">
        <v>35.5</v>
      </c>
      <c r="D9" s="18" t="n">
        <v>73.09999999999999</v>
      </c>
      <c r="E9" s="18" t="n">
        <v>225</v>
      </c>
      <c r="F9" s="18" t="n">
        <v>336</v>
      </c>
    </row>
    <row r="10">
      <c r="A10" s="25" t="inlineStr">
        <is>
          <t>EBITDA (derived, pre-exceptional)</t>
        </is>
      </c>
      <c r="C10" s="24" t="n">
        <v>1608.1</v>
      </c>
      <c r="D10" s="24" t="n">
        <v>1415.5</v>
      </c>
      <c r="E10" s="24" t="n">
        <v>2000</v>
      </c>
      <c r="F10" s="24" t="n">
        <v>2236</v>
      </c>
    </row>
    <row r="11">
      <c r="A11" s="14" t="inlineStr">
        <is>
          <t xml:space="preserve">  EBITDA margin % (of net sales)</t>
        </is>
      </c>
      <c r="C11" s="26">
        <f>C10/C8</f>
        <v/>
      </c>
      <c r="D11" s="26">
        <f>D10/D8</f>
        <v/>
      </c>
      <c r="E11" s="26">
        <f>E10/E8</f>
        <v/>
      </c>
      <c r="F11" s="26">
        <f>F10/F8</f>
        <v/>
      </c>
    </row>
    <row r="12">
      <c r="A12" s="14" t="inlineStr">
        <is>
          <t>Depreciation &amp; amortisation</t>
        </is>
      </c>
      <c r="C12" s="18" t="n">
        <v>303.8</v>
      </c>
      <c r="D12" s="18" t="n">
        <v>282.5</v>
      </c>
      <c r="E12" s="18" t="n">
        <v>275</v>
      </c>
      <c r="F12" s="18" t="n">
        <v>283</v>
      </c>
    </row>
    <row r="13">
      <c r="A13" s="14" t="inlineStr">
        <is>
          <t>Finance costs (total)</t>
        </is>
      </c>
      <c r="C13" s="18" t="n">
        <v>88</v>
      </c>
      <c r="D13" s="18" t="n">
        <v>103.9</v>
      </c>
      <c r="E13" s="18" t="n">
        <v>76</v>
      </c>
      <c r="F13" s="18" t="n">
        <v>89</v>
      </c>
    </row>
    <row r="14">
      <c r="A14" s="27" t="inlineStr">
        <is>
          <t xml:space="preserve">  of which: lease interest</t>
        </is>
      </c>
      <c r="C14" s="18" t="n">
        <v>11.9</v>
      </c>
      <c r="D14" s="18" t="n">
        <v>16</v>
      </c>
      <c r="E14" s="18" t="n">
        <v>21</v>
      </c>
      <c r="F14" s="18" t="n">
        <v>40</v>
      </c>
    </row>
    <row r="15">
      <c r="A15" s="27" t="inlineStr">
        <is>
          <t xml:space="preserve">  of which: other interest</t>
        </is>
      </c>
      <c r="C15" s="18" t="n">
        <v>76.09999999999999</v>
      </c>
      <c r="D15" s="18" t="n">
        <v>87.90000000000001</v>
      </c>
      <c r="E15" s="18" t="n">
        <v>55</v>
      </c>
      <c r="F15" s="18" t="n">
        <v>49</v>
      </c>
    </row>
    <row r="16">
      <c r="A16" s="14" t="inlineStr">
        <is>
          <t>Exceptional items (net)</t>
        </is>
      </c>
      <c r="C16" s="18" t="n">
        <v>-165.2</v>
      </c>
      <c r="D16" s="18" t="n">
        <v>176.4</v>
      </c>
      <c r="E16" s="18" t="n">
        <v>-17</v>
      </c>
      <c r="F16" s="18" t="n">
        <v>-65</v>
      </c>
    </row>
    <row r="17">
      <c r="A17" s="23" t="inlineStr">
        <is>
          <t>Profit before tax</t>
        </is>
      </c>
      <c r="C17" s="24" t="n">
        <v>1086.6</v>
      </c>
      <c r="D17" s="24" t="n">
        <v>1278.6</v>
      </c>
      <c r="E17" s="24" t="n">
        <v>1857</v>
      </c>
      <c r="F17" s="24" t="n">
        <v>2135</v>
      </c>
    </row>
    <row r="18">
      <c r="A18" s="14" t="inlineStr">
        <is>
          <t>Total tax expense</t>
        </is>
      </c>
      <c r="C18" s="18" t="n">
        <v>276</v>
      </c>
      <c r="D18" s="18" t="n">
        <v>152.8</v>
      </c>
      <c r="E18" s="18" t="n">
        <v>449</v>
      </c>
      <c r="F18" s="18" t="n">
        <v>553</v>
      </c>
    </row>
    <row r="19">
      <c r="A19" s="23" t="inlineStr">
        <is>
          <t>Profit after tax (PAT)</t>
        </is>
      </c>
      <c r="C19" s="24" t="n">
        <v>810.6</v>
      </c>
      <c r="D19" s="24" t="n">
        <v>1125.8</v>
      </c>
      <c r="E19" s="24" t="n">
        <v>1408</v>
      </c>
      <c r="F19" s="24" t="n">
        <v>1582</v>
      </c>
    </row>
    <row r="21">
      <c r="A21" s="12" t="inlineStr">
        <is>
          <t>DEBT, LEASES &amp; LIQUIDITY (Balance Sheet)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4" t="inlineStr">
        <is>
          <t>Borrowings - non-current</t>
        </is>
      </c>
      <c r="C22" s="18" t="n">
        <v>0.9</v>
      </c>
      <c r="D22" s="18" t="n">
        <v>0.3</v>
      </c>
      <c r="E22" s="18" t="n">
        <v>0</v>
      </c>
      <c r="F22" s="18" t="n">
        <v>0</v>
      </c>
    </row>
    <row r="23">
      <c r="A23" s="14" t="inlineStr">
        <is>
          <t>Borrowings - current</t>
        </is>
      </c>
      <c r="C23" s="18" t="n">
        <v>340.8</v>
      </c>
      <c r="D23" s="18" t="n">
        <v>0.8</v>
      </c>
      <c r="E23" s="18" t="n">
        <v>25</v>
      </c>
      <c r="F23" s="18" t="n">
        <v>0</v>
      </c>
    </row>
    <row r="24">
      <c r="A24" s="23" t="inlineStr">
        <is>
          <t>Total borrowings</t>
        </is>
      </c>
      <c r="C24" s="24">
        <f>C22+C23</f>
        <v/>
      </c>
      <c r="D24" s="24">
        <f>D22+D23</f>
        <v/>
      </c>
      <c r="E24" s="24">
        <f>E22+E23</f>
        <v/>
      </c>
      <c r="F24" s="24">
        <f>F22+F23</f>
        <v/>
      </c>
    </row>
    <row r="25">
      <c r="A25" s="14" t="inlineStr">
        <is>
          <t>Lease liabilities - non-current</t>
        </is>
      </c>
      <c r="C25" s="18" t="n">
        <v>134.1</v>
      </c>
      <c r="D25" s="18" t="n">
        <v>80</v>
      </c>
      <c r="E25" s="18" t="n">
        <v>137</v>
      </c>
      <c r="F25" s="18" t="n">
        <v>334</v>
      </c>
    </row>
    <row r="26">
      <c r="A26" s="14" t="inlineStr">
        <is>
          <t>Lease liabilities - current</t>
        </is>
      </c>
      <c r="C26" s="18" t="n">
        <v>129.6</v>
      </c>
      <c r="D26" s="18" t="n">
        <v>102.2</v>
      </c>
      <c r="E26" s="18" t="n">
        <v>103</v>
      </c>
      <c r="F26" s="18" t="n">
        <v>146</v>
      </c>
    </row>
    <row r="27">
      <c r="A27" s="23" t="inlineStr">
        <is>
          <t>Total lease liabilities</t>
        </is>
      </c>
      <c r="C27" s="24">
        <f>C25+C26</f>
        <v/>
      </c>
      <c r="D27" s="24">
        <f>D25+D26</f>
        <v/>
      </c>
      <c r="E27" s="24">
        <f>E25+E26</f>
        <v/>
      </c>
      <c r="F27" s="24">
        <f>F25+F26</f>
        <v/>
      </c>
    </row>
    <row r="28">
      <c r="A28" s="28" t="inlineStr">
        <is>
          <t>Total debt (borrowings + leases)</t>
        </is>
      </c>
      <c r="C28" s="24">
        <f>C24+C27</f>
        <v/>
      </c>
      <c r="D28" s="24">
        <f>D24+D27</f>
        <v/>
      </c>
      <c r="E28" s="24">
        <f>E24+E27</f>
        <v/>
      </c>
      <c r="F28" s="24">
        <f>F24+F27</f>
        <v/>
      </c>
    </row>
    <row r="29">
      <c r="A29" s="14" t="inlineStr">
        <is>
          <t>Cash &amp; cash equivalents</t>
        </is>
      </c>
      <c r="C29" s="18" t="n">
        <v>54.5</v>
      </c>
      <c r="D29" s="18" t="n">
        <v>115.1</v>
      </c>
      <c r="E29" s="18" t="n">
        <v>1052</v>
      </c>
      <c r="F29" s="18" t="n">
        <v>1328</v>
      </c>
    </row>
    <row r="30">
      <c r="A30" s="14" t="inlineStr">
        <is>
          <t>Bank balances other than cash (deposits)</t>
        </is>
      </c>
      <c r="C30" s="18" t="n">
        <v>5.8</v>
      </c>
      <c r="D30" s="18" t="n">
        <v>768.2</v>
      </c>
      <c r="E30" s="18" t="n">
        <v>217</v>
      </c>
      <c r="F30" s="18" t="n">
        <v>702</v>
      </c>
    </row>
    <row r="31">
      <c r="A31" s="14" t="inlineStr">
        <is>
          <t>Current investments (debt mutual funds)</t>
        </is>
      </c>
      <c r="C31" s="18" t="n">
        <v>222.1</v>
      </c>
      <c r="D31" s="18" t="n">
        <v>255.8</v>
      </c>
      <c r="E31" s="18" t="n">
        <v>599</v>
      </c>
      <c r="F31" s="18" t="n">
        <v>873</v>
      </c>
    </row>
    <row r="32">
      <c r="A32" s="29" t="inlineStr">
        <is>
          <t>Treasury (cash + deposits + MF)</t>
        </is>
      </c>
      <c r="C32" s="24">
        <f>SUM(C29:C31)</f>
        <v/>
      </c>
      <c r="D32" s="24">
        <f>SUM(D29:D31)</f>
        <v/>
      </c>
      <c r="E32" s="24">
        <f>SUM(E29:E31)</f>
        <v/>
      </c>
      <c r="F32" s="24">
        <f>SUM(F29:F31)</f>
        <v/>
      </c>
    </row>
    <row r="33">
      <c r="A33" s="23" t="inlineStr">
        <is>
          <t>Net debt / (net cash)</t>
        </is>
      </c>
      <c r="C33" s="24">
        <f>C28-C32</f>
        <v/>
      </c>
      <c r="D33" s="24">
        <f>D28-D32</f>
        <v/>
      </c>
      <c r="E33" s="24">
        <f>E28-E32</f>
        <v/>
      </c>
      <c r="F33" s="24">
        <f>F28-F32</f>
        <v/>
      </c>
    </row>
    <row r="34">
      <c r="A34" s="14" t="inlineStr">
        <is>
          <t>Total equity</t>
        </is>
      </c>
      <c r="C34" s="18" t="n">
        <v>4874.8</v>
      </c>
      <c r="D34" s="18" t="n">
        <v>5999.5</v>
      </c>
      <c r="E34" s="18" t="n">
        <v>7121</v>
      </c>
      <c r="F34" s="18" t="n">
        <v>8104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8" t="inlineStr">
        <is>
          <t xml:space="preserve">  DEBT SCHEDULE  -  Lease liabilities + Borrowings  -&gt;  INTEREST EXPENSE   (Rs crore)</t>
        </is>
      </c>
    </row>
    <row r="3">
      <c r="A3" s="9" t="inlineStr">
        <is>
          <t>Rs crore</t>
        </is>
      </c>
      <c r="C3" s="10" t="inlineStr">
        <is>
          <t>FY22A</t>
        </is>
      </c>
      <c r="D3" s="10" t="inlineStr">
        <is>
          <t>FY23A</t>
        </is>
      </c>
      <c r="E3" s="10" t="inlineStr">
        <is>
          <t>FY24A</t>
        </is>
      </c>
      <c r="F3" s="10" t="inlineStr">
        <is>
          <t>FY25A</t>
        </is>
      </c>
      <c r="G3" s="11" t="inlineStr">
        <is>
          <t>FY26E</t>
        </is>
      </c>
      <c r="H3" s="11" t="inlineStr">
        <is>
          <t>FY27E</t>
        </is>
      </c>
      <c r="I3" s="11" t="inlineStr">
        <is>
          <t>FY28E</t>
        </is>
      </c>
      <c r="J3" s="11" t="inlineStr">
        <is>
          <t>FY29E</t>
        </is>
      </c>
      <c r="K3" s="11" t="inlineStr">
        <is>
          <t>FY30E</t>
        </is>
      </c>
    </row>
    <row r="4">
      <c r="A4" s="12" t="inlineStr">
        <is>
          <t>A. LEASE LIABILITIES (Ind AS 116)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4" t="inlineStr">
        <is>
          <t>Opening lease liability</t>
        </is>
      </c>
      <c r="C5" s="18">
        <f>'Historicals'!C27-Assumptions!C16+Assumptions!C17+Assumptions!C18</f>
        <v/>
      </c>
      <c r="D5" s="18">
        <f>C9</f>
        <v/>
      </c>
      <c r="E5" s="18">
        <f>D9</f>
        <v/>
      </c>
      <c r="F5" s="18">
        <f>E9</f>
        <v/>
      </c>
      <c r="G5" s="18">
        <f>F9</f>
        <v/>
      </c>
      <c r="H5" s="18">
        <f>G9</f>
        <v/>
      </c>
      <c r="I5" s="18">
        <f>H9</f>
        <v/>
      </c>
      <c r="J5" s="18">
        <f>I9</f>
        <v/>
      </c>
      <c r="K5" s="18">
        <f>J9</f>
        <v/>
      </c>
    </row>
    <row r="6">
      <c r="A6" s="14" t="inlineStr">
        <is>
          <t>(+) New lease additions (ROU)</t>
        </is>
      </c>
      <c r="C6" s="18">
        <f>Assumptions!C16</f>
        <v/>
      </c>
      <c r="D6" s="18">
        <f>Assumptions!D16</f>
        <v/>
      </c>
      <c r="E6" s="18">
        <f>Assumptions!E16</f>
        <v/>
      </c>
      <c r="F6" s="18">
        <f>Assumptions!F16</f>
        <v/>
      </c>
      <c r="G6" s="18">
        <f>Assumptions!G16</f>
        <v/>
      </c>
      <c r="H6" s="18">
        <f>Assumptions!H16</f>
        <v/>
      </c>
      <c r="I6" s="18">
        <f>Assumptions!I16</f>
        <v/>
      </c>
      <c r="J6" s="18">
        <f>Assumptions!J16</f>
        <v/>
      </c>
      <c r="K6" s="18">
        <f>Assumptions!K16</f>
        <v/>
      </c>
    </row>
    <row r="7">
      <c r="A7" s="14" t="inlineStr">
        <is>
          <t>(-) Terminations / adjustments</t>
        </is>
      </c>
      <c r="C7" s="18">
        <f>-Assumptions!C18</f>
        <v/>
      </c>
      <c r="D7" s="18">
        <f>-Assumptions!D18</f>
        <v/>
      </c>
      <c r="E7" s="18">
        <f>-Assumptions!E18</f>
        <v/>
      </c>
      <c r="F7" s="18">
        <f>-Assumptions!F18</f>
        <v/>
      </c>
      <c r="G7" s="18">
        <f>-Assumptions!G18</f>
        <v/>
      </c>
      <c r="H7" s="18">
        <f>-Assumptions!H18</f>
        <v/>
      </c>
      <c r="I7" s="18">
        <f>-Assumptions!I18</f>
        <v/>
      </c>
      <c r="J7" s="18">
        <f>-Assumptions!J18</f>
        <v/>
      </c>
      <c r="K7" s="18">
        <f>-Assumptions!K18</f>
        <v/>
      </c>
    </row>
    <row r="8">
      <c r="A8" s="14" t="inlineStr">
        <is>
          <t>(-) Principal repayment</t>
        </is>
      </c>
      <c r="C8" s="18">
        <f>-Assumptions!C17</f>
        <v/>
      </c>
      <c r="D8" s="18">
        <f>-Assumptions!D17</f>
        <v/>
      </c>
      <c r="E8" s="18">
        <f>-Assumptions!E17</f>
        <v/>
      </c>
      <c r="F8" s="18">
        <f>-Assumptions!F17</f>
        <v/>
      </c>
      <c r="G8" s="18">
        <f>-Assumptions!G17</f>
        <v/>
      </c>
      <c r="H8" s="18">
        <f>-Assumptions!H17</f>
        <v/>
      </c>
      <c r="I8" s="18">
        <f>-Assumptions!I17</f>
        <v/>
      </c>
      <c r="J8" s="18">
        <f>-Assumptions!J17</f>
        <v/>
      </c>
      <c r="K8" s="18">
        <f>-Assumptions!K17</f>
        <v/>
      </c>
    </row>
    <row r="9">
      <c r="A9" s="23" t="inlineStr">
        <is>
          <t>Closing lease liability</t>
        </is>
      </c>
      <c r="C9" s="24">
        <f>'Historicals'!C27</f>
        <v/>
      </c>
      <c r="D9" s="24">
        <f>'Historicals'!D27</f>
        <v/>
      </c>
      <c r="E9" s="24">
        <f>'Historicals'!E27</f>
        <v/>
      </c>
      <c r="F9" s="24">
        <f>'Historicals'!F27</f>
        <v/>
      </c>
      <c r="G9" s="24">
        <f>G5+G6+G7+G8</f>
        <v/>
      </c>
      <c r="H9" s="24">
        <f>H5+H6+H7+H8</f>
        <v/>
      </c>
      <c r="I9" s="24">
        <f>I5+I6+I7+I8</f>
        <v/>
      </c>
      <c r="J9" s="24">
        <f>J5+J6+J7+J8</f>
        <v/>
      </c>
      <c r="K9" s="24">
        <f>K5+K6+K7+K8</f>
        <v/>
      </c>
    </row>
    <row r="10">
      <c r="A10" s="30" t="inlineStr">
        <is>
          <t>Interest on leases (rate x avg balance)</t>
        </is>
      </c>
      <c r="C10" s="31">
        <f>'Historicals'!C14</f>
        <v/>
      </c>
      <c r="D10" s="31">
        <f>'Historicals'!D14</f>
        <v/>
      </c>
      <c r="E10" s="31">
        <f>'Historicals'!E14</f>
        <v/>
      </c>
      <c r="F10" s="31">
        <f>'Historicals'!F14</f>
        <v/>
      </c>
      <c r="G10" s="31">
        <f>Assumptions!G15*AVERAGE(G5,G9)</f>
        <v/>
      </c>
      <c r="H10" s="31">
        <f>Assumptions!H15*AVERAGE(H5,H9)</f>
        <v/>
      </c>
      <c r="I10" s="31">
        <f>Assumptions!I15*AVERAGE(I5,I9)</f>
        <v/>
      </c>
      <c r="J10" s="31">
        <f>Assumptions!J15*AVERAGE(J5,J9)</f>
        <v/>
      </c>
      <c r="K10" s="31">
        <f>Assumptions!K15*AVERAGE(K5,K9)</f>
        <v/>
      </c>
    </row>
    <row r="11">
      <c r="A11" s="27" t="inlineStr">
        <is>
          <t xml:space="preserve">  implied interest rate %</t>
        </is>
      </c>
      <c r="C11" s="26">
        <f>IF(AVERAGE(C5,C9)=0,0,C10/AVERAGE(C5,C9))</f>
        <v/>
      </c>
      <c r="D11" s="26">
        <f>IF(AVERAGE(D5,D9)=0,0,D10/AVERAGE(D5,D9))</f>
        <v/>
      </c>
      <c r="E11" s="26">
        <f>IF(AVERAGE(E5,E9)=0,0,E10/AVERAGE(E5,E9))</f>
        <v/>
      </c>
      <c r="F11" s="26">
        <f>IF(AVERAGE(F5,F9)=0,0,F10/AVERAGE(F5,F9))</f>
        <v/>
      </c>
      <c r="G11" s="26">
        <f>IF(AVERAGE(G5,G9)=0,0,G10/AVERAGE(G5,G9))</f>
        <v/>
      </c>
      <c r="H11" s="26">
        <f>IF(AVERAGE(H5,H9)=0,0,H10/AVERAGE(H5,H9))</f>
        <v/>
      </c>
      <c r="I11" s="26">
        <f>IF(AVERAGE(I5,I9)=0,0,I10/AVERAGE(I5,I9))</f>
        <v/>
      </c>
      <c r="J11" s="26">
        <f>IF(AVERAGE(J5,J9)=0,0,J10/AVERAGE(J5,J9))</f>
        <v/>
      </c>
      <c r="K11" s="26">
        <f>IF(AVERAGE(K5,K9)=0,0,K10/AVERAGE(K5,K9))</f>
        <v/>
      </c>
    </row>
    <row r="13">
      <c r="A13" s="12" t="inlineStr">
        <is>
          <t>B. BORROWINGS (working-capital / short-term)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4" t="inlineStr">
        <is>
          <t>Opening borrowings</t>
        </is>
      </c>
      <c r="C14" s="18">
        <f>Assumptions!C19</f>
        <v/>
      </c>
      <c r="D14" s="18">
        <f>C17</f>
        <v/>
      </c>
      <c r="E14" s="18">
        <f>D17</f>
        <v/>
      </c>
      <c r="F14" s="18">
        <f>E17</f>
        <v/>
      </c>
      <c r="G14" s="18">
        <f>F17</f>
        <v/>
      </c>
      <c r="H14" s="18">
        <f>G17</f>
        <v/>
      </c>
      <c r="I14" s="18">
        <f>H17</f>
        <v/>
      </c>
      <c r="J14" s="18">
        <f>I17</f>
        <v/>
      </c>
      <c r="K14" s="18">
        <f>J17</f>
        <v/>
      </c>
    </row>
    <row r="15">
      <c r="A15" s="14" t="inlineStr">
        <is>
          <t>(+) Drawdowns</t>
        </is>
      </c>
      <c r="C15" s="18">
        <f>Assumptions!C20</f>
        <v/>
      </c>
      <c r="D15" s="18">
        <f>Assumptions!D20</f>
        <v/>
      </c>
      <c r="E15" s="18">
        <f>Assumptions!E20</f>
        <v/>
      </c>
      <c r="F15" s="18">
        <f>Assumptions!F20</f>
        <v/>
      </c>
      <c r="G15" s="18">
        <f>Assumptions!G20</f>
        <v/>
      </c>
      <c r="H15" s="18">
        <f>Assumptions!H20</f>
        <v/>
      </c>
      <c r="I15" s="18">
        <f>Assumptions!I20</f>
        <v/>
      </c>
      <c r="J15" s="18">
        <f>Assumptions!J20</f>
        <v/>
      </c>
      <c r="K15" s="18">
        <f>Assumptions!K20</f>
        <v/>
      </c>
    </row>
    <row r="16">
      <c r="A16" s="14" t="inlineStr">
        <is>
          <t>(-) Repayments</t>
        </is>
      </c>
      <c r="C16" s="18">
        <f>-Assumptions!C21</f>
        <v/>
      </c>
      <c r="D16" s="18">
        <f>-Assumptions!D21</f>
        <v/>
      </c>
      <c r="E16" s="18">
        <f>-Assumptions!E21</f>
        <v/>
      </c>
      <c r="F16" s="18">
        <f>-Assumptions!F21</f>
        <v/>
      </c>
      <c r="G16" s="18">
        <f>-Assumptions!G21</f>
        <v/>
      </c>
      <c r="H16" s="18">
        <f>-Assumptions!H21</f>
        <v/>
      </c>
      <c r="I16" s="18">
        <f>-Assumptions!I21</f>
        <v/>
      </c>
      <c r="J16" s="18">
        <f>-Assumptions!J21</f>
        <v/>
      </c>
      <c r="K16" s="18">
        <f>-Assumptions!K21</f>
        <v/>
      </c>
    </row>
    <row r="17">
      <c r="A17" s="23" t="inlineStr">
        <is>
          <t>Closing borrowings</t>
        </is>
      </c>
      <c r="C17" s="24">
        <f>'Historicals'!C24</f>
        <v/>
      </c>
      <c r="D17" s="24">
        <f>'Historicals'!D24</f>
        <v/>
      </c>
      <c r="E17" s="24">
        <f>'Historicals'!E24</f>
        <v/>
      </c>
      <c r="F17" s="24">
        <f>'Historicals'!F24</f>
        <v/>
      </c>
      <c r="G17" s="24">
        <f>G14+G15+G16</f>
        <v/>
      </c>
      <c r="H17" s="24">
        <f>H14+H15+H16</f>
        <v/>
      </c>
      <c r="I17" s="24">
        <f>I14+I15+I16</f>
        <v/>
      </c>
      <c r="J17" s="24">
        <f>J14+J15+J16</f>
        <v/>
      </c>
      <c r="K17" s="24">
        <f>K14+K15+K16</f>
        <v/>
      </c>
    </row>
    <row r="18">
      <c r="A18" s="30" t="inlineStr">
        <is>
          <t>Interest on borrowings (rate x avg)</t>
        </is>
      </c>
      <c r="C18" s="31">
        <f>Assumptions!C22*AVERAGE(C14,C17)</f>
        <v/>
      </c>
      <c r="D18" s="31">
        <f>Assumptions!D22*AVERAGE(D14,D17)</f>
        <v/>
      </c>
      <c r="E18" s="31">
        <f>Assumptions!E22*AVERAGE(E14,E17)</f>
        <v/>
      </c>
      <c r="F18" s="31">
        <f>Assumptions!F22*AVERAGE(F14,F17)</f>
        <v/>
      </c>
      <c r="G18" s="31">
        <f>Assumptions!G22*AVERAGE(G14,G17)</f>
        <v/>
      </c>
      <c r="H18" s="31">
        <f>Assumptions!H22*AVERAGE(H14,H17)</f>
        <v/>
      </c>
      <c r="I18" s="31">
        <f>Assumptions!I22*AVERAGE(I14,I17)</f>
        <v/>
      </c>
      <c r="J18" s="31">
        <f>Assumptions!J22*AVERAGE(J14,J17)</f>
        <v/>
      </c>
      <c r="K18" s="31">
        <f>Assumptions!K22*AVERAGE(K14,K17)</f>
        <v/>
      </c>
    </row>
    <row r="20">
      <c r="A20" s="12" t="inlineStr">
        <is>
          <t>C. TOTAL FINANCE COST (P&amp;L interest expense)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4" t="inlineStr">
        <is>
          <t>Lease interest</t>
        </is>
      </c>
      <c r="C21" s="18">
        <f>C10</f>
        <v/>
      </c>
      <c r="D21" s="18">
        <f>D10</f>
        <v/>
      </c>
      <c r="E21" s="18">
        <f>E10</f>
        <v/>
      </c>
      <c r="F21" s="18">
        <f>F10</f>
        <v/>
      </c>
      <c r="G21" s="18">
        <f>G10</f>
        <v/>
      </c>
      <c r="H21" s="18">
        <f>H10</f>
        <v/>
      </c>
      <c r="I21" s="18">
        <f>I10</f>
        <v/>
      </c>
      <c r="J21" s="18">
        <f>J10</f>
        <v/>
      </c>
      <c r="K21" s="18">
        <f>K10</f>
        <v/>
      </c>
    </row>
    <row r="22">
      <c r="A22" s="14" t="inlineStr">
        <is>
          <t>Borrowing interest</t>
        </is>
      </c>
      <c r="C22" s="18">
        <f>C18</f>
        <v/>
      </c>
      <c r="D22" s="18">
        <f>D18</f>
        <v/>
      </c>
      <c r="E22" s="18">
        <f>E18</f>
        <v/>
      </c>
      <c r="F22" s="18">
        <f>F18</f>
        <v/>
      </c>
      <c r="G22" s="18">
        <f>G18</f>
        <v/>
      </c>
      <c r="H22" s="18">
        <f>H18</f>
        <v/>
      </c>
      <c r="I22" s="18">
        <f>I18</f>
        <v/>
      </c>
      <c r="J22" s="18">
        <f>J18</f>
        <v/>
      </c>
      <c r="K22" s="18">
        <f>K18</f>
        <v/>
      </c>
    </row>
    <row r="23">
      <c r="A23" s="14" t="inlineStr">
        <is>
          <t>Other interest (non-lease, non-borrowing)</t>
        </is>
      </c>
      <c r="C23" s="18">
        <f>Assumptions!C23</f>
        <v/>
      </c>
      <c r="D23" s="18">
        <f>Assumptions!D23</f>
        <v/>
      </c>
      <c r="E23" s="18">
        <f>Assumptions!E23</f>
        <v/>
      </c>
      <c r="F23" s="18">
        <f>Assumptions!F23</f>
        <v/>
      </c>
      <c r="G23" s="18">
        <f>Assumptions!G23</f>
        <v/>
      </c>
      <c r="H23" s="18">
        <f>Assumptions!H23</f>
        <v/>
      </c>
      <c r="I23" s="18">
        <f>Assumptions!I23</f>
        <v/>
      </c>
      <c r="J23" s="18">
        <f>Assumptions!J23</f>
        <v/>
      </c>
      <c r="K23" s="18">
        <f>Assumptions!K23</f>
        <v/>
      </c>
    </row>
    <row r="24">
      <c r="A24" s="30" t="inlineStr">
        <is>
          <t>Total finance cost</t>
        </is>
      </c>
      <c r="C24" s="31">
        <f>SUM(C21:C23)</f>
        <v/>
      </c>
      <c r="D24" s="31">
        <f>SUM(D21:D23)</f>
        <v/>
      </c>
      <c r="E24" s="31">
        <f>SUM(E21:E23)</f>
        <v/>
      </c>
      <c r="F24" s="31">
        <f>SUM(F21:F23)</f>
        <v/>
      </c>
      <c r="G24" s="31">
        <f>SUM(G21:G23)</f>
        <v/>
      </c>
      <c r="H24" s="31">
        <f>SUM(H21:H23)</f>
        <v/>
      </c>
      <c r="I24" s="31">
        <f>SUM(I21:I23)</f>
        <v/>
      </c>
      <c r="J24" s="31">
        <f>SUM(J21:J23)</f>
        <v/>
      </c>
      <c r="K24" s="31">
        <f>SUM(K21:K23)</f>
        <v/>
      </c>
    </row>
    <row r="25">
      <c r="A25" s="23" t="inlineStr">
        <is>
          <t>Memo: Total debt (closing)</t>
        </is>
      </c>
      <c r="C25" s="24">
        <f>C9+C17</f>
        <v/>
      </c>
      <c r="D25" s="24">
        <f>D9+D17</f>
        <v/>
      </c>
      <c r="E25" s="24">
        <f>E9+E17</f>
        <v/>
      </c>
      <c r="F25" s="24">
        <f>F9+F17</f>
        <v/>
      </c>
      <c r="G25" s="24">
        <f>G9+G17</f>
        <v/>
      </c>
      <c r="H25" s="24">
        <f>H9+H17</f>
        <v/>
      </c>
      <c r="I25" s="24">
        <f>I9+I17</f>
        <v/>
      </c>
      <c r="J25" s="24">
        <f>J9+J17</f>
        <v/>
      </c>
      <c r="K25" s="24">
        <f>K9+K17</f>
        <v/>
      </c>
    </row>
    <row r="26">
      <c r="A26" s="27" t="inlineStr">
        <is>
          <t>Memo: Reported finance cost (actual)</t>
        </is>
      </c>
      <c r="C26" s="32" t="n">
        <v>88</v>
      </c>
      <c r="D26" s="32" t="n">
        <v>103.9</v>
      </c>
      <c r="E26" s="32" t="n">
        <v>76</v>
      </c>
      <c r="F26" s="32" t="n">
        <v>89</v>
      </c>
    </row>
    <row r="27">
      <c r="A27" s="27" t="inlineStr">
        <is>
          <t>Memo: Variance (model - reported)</t>
        </is>
      </c>
      <c r="C27" s="32">
        <f>C24-C26</f>
        <v/>
      </c>
      <c r="D27" s="32">
        <f>D24-D26</f>
        <v/>
      </c>
      <c r="E27" s="32">
        <f>E24-E26</f>
        <v/>
      </c>
      <c r="F27" s="32">
        <f>F24-F26</f>
        <v/>
      </c>
    </row>
    <row r="28">
      <c r="A28" s="27" t="inlineStr">
        <is>
          <t>Memo: model lease interest @ rate x avg</t>
        </is>
      </c>
      <c r="C28" s="32">
        <f>Assumptions!C15*AVERAGE(C5,C9)</f>
        <v/>
      </c>
      <c r="D28" s="32">
        <f>Assumptions!D15*AVERAGE(D5,D9)</f>
        <v/>
      </c>
      <c r="E28" s="32">
        <f>Assumptions!E15*AVERAGE(E5,E9)</f>
        <v/>
      </c>
      <c r="F28" s="32">
        <f>Assumptions!F15*AVERAGE(F5,F9)</f>
        <v/>
      </c>
      <c r="G28" s="32">
        <f>Assumptions!G15*AVERAGE(G5,G9)</f>
        <v/>
      </c>
      <c r="H28" s="32">
        <f>Assumptions!H15*AVERAGE(H5,H9)</f>
        <v/>
      </c>
      <c r="I28" s="32">
        <f>Assumptions!I15*AVERAGE(I5,I9)</f>
        <v/>
      </c>
      <c r="J28" s="32">
        <f>Assumptions!J15*AVERAGE(J5,J9)</f>
        <v/>
      </c>
      <c r="K28" s="32">
        <f>Assumptions!K15*AVERAGE(K5,K9)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K3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8" t="inlineStr">
        <is>
          <t xml:space="preserve">  CASH SCHEDULE  -  FCF build &amp; treasury roll  -&gt;  INTEREST INCOME   (Rs crore)</t>
        </is>
      </c>
    </row>
    <row r="3">
      <c r="A3" s="9" t="inlineStr">
        <is>
          <t>Rs crore</t>
        </is>
      </c>
      <c r="C3" s="10" t="inlineStr">
        <is>
          <t>FY22A</t>
        </is>
      </c>
      <c r="D3" s="10" t="inlineStr">
        <is>
          <t>FY23A</t>
        </is>
      </c>
      <c r="E3" s="10" t="inlineStr">
        <is>
          <t>FY24A</t>
        </is>
      </c>
      <c r="F3" s="10" t="inlineStr">
        <is>
          <t>FY25A</t>
        </is>
      </c>
      <c r="G3" s="11" t="inlineStr">
        <is>
          <t>FY26E</t>
        </is>
      </c>
      <c r="H3" s="11" t="inlineStr">
        <is>
          <t>FY27E</t>
        </is>
      </c>
      <c r="I3" s="11" t="inlineStr">
        <is>
          <t>FY28E</t>
        </is>
      </c>
      <c r="J3" s="11" t="inlineStr">
        <is>
          <t>FY29E</t>
        </is>
      </c>
      <c r="K3" s="11" t="inlineStr">
        <is>
          <t>FY30E</t>
        </is>
      </c>
    </row>
    <row r="4">
      <c r="A4" s="12" t="inlineStr">
        <is>
          <t>A. P&amp;L BRIDGE (drives cash)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4" t="inlineStr">
        <is>
          <t>Net sales (ex-excise)</t>
        </is>
      </c>
      <c r="C5" s="18">
        <f>'Historicals'!C8</f>
        <v/>
      </c>
      <c r="D5" s="18">
        <f>'Historicals'!D8</f>
        <v/>
      </c>
      <c r="E5" s="18">
        <f>'Historicals'!E8</f>
        <v/>
      </c>
      <c r="F5" s="18">
        <f>'Historicals'!F8</f>
        <v/>
      </c>
      <c r="G5" s="18">
        <f>F5*(1+Assumptions!G6)</f>
        <v/>
      </c>
      <c r="H5" s="18">
        <f>G5*(1+Assumptions!H6)</f>
        <v/>
      </c>
      <c r="I5" s="18">
        <f>H5*(1+Assumptions!I6)</f>
        <v/>
      </c>
      <c r="J5" s="18">
        <f>I5*(1+Assumptions!J6)</f>
        <v/>
      </c>
      <c r="K5" s="18">
        <f>J5*(1+Assumptions!K6)</f>
        <v/>
      </c>
    </row>
    <row r="6">
      <c r="A6" s="27" t="inlineStr">
        <is>
          <t xml:space="preserve">  growth %</t>
        </is>
      </c>
      <c r="C6" s="26" t="n"/>
      <c r="D6" s="26">
        <f>D5/C5-1</f>
        <v/>
      </c>
      <c r="E6" s="26">
        <f>E5/D5-1</f>
        <v/>
      </c>
      <c r="F6" s="26">
        <f>F5/E5-1</f>
        <v/>
      </c>
      <c r="G6" s="26">
        <f>G5/F5-1</f>
        <v/>
      </c>
      <c r="H6" s="26">
        <f>H5/G5-1</f>
        <v/>
      </c>
      <c r="I6" s="26">
        <f>I5/H5-1</f>
        <v/>
      </c>
      <c r="J6" s="26">
        <f>J5/I5-1</f>
        <v/>
      </c>
      <c r="K6" s="26">
        <f>K5/J5-1</f>
        <v/>
      </c>
    </row>
    <row r="7">
      <c r="A7" s="23" t="inlineStr">
        <is>
          <t>EBITDA</t>
        </is>
      </c>
      <c r="C7" s="24">
        <f>'Historicals'!C10</f>
        <v/>
      </c>
      <c r="D7" s="24">
        <f>'Historicals'!D10</f>
        <v/>
      </c>
      <c r="E7" s="24">
        <f>'Historicals'!E10</f>
        <v/>
      </c>
      <c r="F7" s="24">
        <f>'Historicals'!F10</f>
        <v/>
      </c>
      <c r="G7" s="24">
        <f>G5*Assumptions!G7</f>
        <v/>
      </c>
      <c r="H7" s="24">
        <f>H5*Assumptions!H7</f>
        <v/>
      </c>
      <c r="I7" s="24">
        <f>I5*Assumptions!I7</f>
        <v/>
      </c>
      <c r="J7" s="24">
        <f>J5*Assumptions!J7</f>
        <v/>
      </c>
      <c r="K7" s="24">
        <f>K5*Assumptions!K7</f>
        <v/>
      </c>
    </row>
    <row r="8">
      <c r="A8" s="14" t="inlineStr">
        <is>
          <t>(-) Depreciation &amp; amortisation</t>
        </is>
      </c>
      <c r="C8" s="18">
        <f>-'Historicals'!C12</f>
        <v/>
      </c>
      <c r="D8" s="18">
        <f>-'Historicals'!D12</f>
        <v/>
      </c>
      <c r="E8" s="18">
        <f>-'Historicals'!E12</f>
        <v/>
      </c>
      <c r="F8" s="18">
        <f>-'Historicals'!F12</f>
        <v/>
      </c>
      <c r="G8" s="18">
        <f>-Assumptions!G8</f>
        <v/>
      </c>
      <c r="H8" s="18">
        <f>-Assumptions!H8</f>
        <v/>
      </c>
      <c r="I8" s="18">
        <f>-Assumptions!I8</f>
        <v/>
      </c>
      <c r="J8" s="18">
        <f>-Assumptions!J8</f>
        <v/>
      </c>
      <c r="K8" s="18">
        <f>-Assumptions!K8</f>
        <v/>
      </c>
    </row>
    <row r="9">
      <c r="A9" s="23" t="inlineStr">
        <is>
          <t>EBIT</t>
        </is>
      </c>
      <c r="C9" s="24">
        <f>C7+C8</f>
        <v/>
      </c>
      <c r="D9" s="24">
        <f>D7+D8</f>
        <v/>
      </c>
      <c r="E9" s="24">
        <f>E7+E8</f>
        <v/>
      </c>
      <c r="F9" s="24">
        <f>F7+F8</f>
        <v/>
      </c>
      <c r="G9" s="24">
        <f>G7+G8</f>
        <v/>
      </c>
      <c r="H9" s="24">
        <f>H7+H8</f>
        <v/>
      </c>
      <c r="I9" s="24">
        <f>I7+I8</f>
        <v/>
      </c>
      <c r="J9" s="24">
        <f>J7+J8</f>
        <v/>
      </c>
      <c r="K9" s="24">
        <f>K7+K8</f>
        <v/>
      </c>
    </row>
    <row r="10">
      <c r="A10" s="33" t="inlineStr">
        <is>
          <t>(+) Interest income (treasury)</t>
        </is>
      </c>
      <c r="C10" s="34" t="n"/>
      <c r="D10" s="34" t="n"/>
      <c r="E10" s="34" t="n"/>
      <c r="F10" s="34" t="n"/>
      <c r="G10" s="34">
        <f>Assumptions!G26*G33</f>
        <v/>
      </c>
      <c r="H10" s="34">
        <f>Assumptions!H26*H33</f>
        <v/>
      </c>
      <c r="I10" s="34">
        <f>Assumptions!I26*I33</f>
        <v/>
      </c>
      <c r="J10" s="34">
        <f>Assumptions!J26*J33</f>
        <v/>
      </c>
      <c r="K10" s="34">
        <f>Assumptions!K26*K33</f>
        <v/>
      </c>
    </row>
    <row r="11">
      <c r="A11" s="35" t="inlineStr">
        <is>
          <t>(-) Finance cost (from Debt Schedule)</t>
        </is>
      </c>
      <c r="C11" s="36">
        <f>-'Historicals'!C13</f>
        <v/>
      </c>
      <c r="D11" s="36">
        <f>-'Historicals'!D13</f>
        <v/>
      </c>
      <c r="E11" s="36">
        <f>-'Historicals'!E13</f>
        <v/>
      </c>
      <c r="F11" s="36">
        <f>-'Historicals'!F13</f>
        <v/>
      </c>
      <c r="G11" s="36">
        <f>-'Debt Schedule'!G24</f>
        <v/>
      </c>
      <c r="H11" s="36">
        <f>-'Debt Schedule'!H24</f>
        <v/>
      </c>
      <c r="I11" s="36">
        <f>-'Debt Schedule'!I24</f>
        <v/>
      </c>
      <c r="J11" s="36">
        <f>-'Debt Schedule'!J24</f>
        <v/>
      </c>
      <c r="K11" s="36">
        <f>-'Debt Schedule'!K24</f>
        <v/>
      </c>
    </row>
    <row r="12">
      <c r="A12" s="14" t="inlineStr">
        <is>
          <t>(+) Other operating income</t>
        </is>
      </c>
      <c r="C12" s="18" t="n"/>
      <c r="D12" s="18" t="n"/>
      <c r="E12" s="18" t="n"/>
      <c r="F12" s="18" t="n"/>
      <c r="G12" s="18">
        <f>Assumptions!G27</f>
        <v/>
      </c>
      <c r="H12" s="18">
        <f>Assumptions!H27</f>
        <v/>
      </c>
      <c r="I12" s="18">
        <f>Assumptions!I27</f>
        <v/>
      </c>
      <c r="J12" s="18">
        <f>Assumptions!J27</f>
        <v/>
      </c>
      <c r="K12" s="18">
        <f>Assumptions!K27</f>
        <v/>
      </c>
    </row>
    <row r="13">
      <c r="A13" s="23" t="inlineStr">
        <is>
          <t>Profit before tax</t>
        </is>
      </c>
      <c r="C13" s="24">
        <f>'Historicals'!C17</f>
        <v/>
      </c>
      <c r="D13" s="24">
        <f>'Historicals'!D17</f>
        <v/>
      </c>
      <c r="E13" s="24">
        <f>'Historicals'!E17</f>
        <v/>
      </c>
      <c r="F13" s="24">
        <f>'Historicals'!F17</f>
        <v/>
      </c>
      <c r="G13" s="24">
        <f>G9+G10+G11+G12</f>
        <v/>
      </c>
      <c r="H13" s="24">
        <f>H9+H10+H11+H12</f>
        <v/>
      </c>
      <c r="I13" s="24">
        <f>I9+I10+I11+I12</f>
        <v/>
      </c>
      <c r="J13" s="24">
        <f>J9+J10+J11+J12</f>
        <v/>
      </c>
      <c r="K13" s="24">
        <f>K9+K10+K11+K12</f>
        <v/>
      </c>
    </row>
    <row r="14">
      <c r="A14" s="14" t="inlineStr">
        <is>
          <t>(-) Tax</t>
        </is>
      </c>
      <c r="C14" s="18">
        <f>-'Historicals'!C18</f>
        <v/>
      </c>
      <c r="D14" s="18">
        <f>-'Historicals'!D18</f>
        <v/>
      </c>
      <c r="E14" s="18">
        <f>-'Historicals'!E18</f>
        <v/>
      </c>
      <c r="F14" s="18">
        <f>-'Historicals'!F18</f>
        <v/>
      </c>
      <c r="G14" s="18">
        <f>-G13*Assumptions!G9</f>
        <v/>
      </c>
      <c r="H14" s="18">
        <f>-H13*Assumptions!H9</f>
        <v/>
      </c>
      <c r="I14" s="18">
        <f>-I13*Assumptions!I9</f>
        <v/>
      </c>
      <c r="J14" s="18">
        <f>-J13*Assumptions!J9</f>
        <v/>
      </c>
      <c r="K14" s="18">
        <f>-K13*Assumptions!K9</f>
        <v/>
      </c>
    </row>
    <row r="15">
      <c r="A15" s="23" t="inlineStr">
        <is>
          <t>Profit after tax (PAT)</t>
        </is>
      </c>
      <c r="C15" s="24">
        <f>'Historicals'!C19</f>
        <v/>
      </c>
      <c r="D15" s="24">
        <f>'Historicals'!D19</f>
        <v/>
      </c>
      <c r="E15" s="24">
        <f>'Historicals'!E19</f>
        <v/>
      </c>
      <c r="F15" s="24">
        <f>'Historicals'!F19</f>
        <v/>
      </c>
      <c r="G15" s="24">
        <f>G13+G14</f>
        <v/>
      </c>
      <c r="H15" s="24">
        <f>H13+H14</f>
        <v/>
      </c>
      <c r="I15" s="24">
        <f>I13+I14</f>
        <v/>
      </c>
      <c r="J15" s="24">
        <f>J13+J14</f>
        <v/>
      </c>
      <c r="K15" s="24">
        <f>K13+K14</f>
        <v/>
      </c>
    </row>
    <row r="17">
      <c r="A17" s="12" t="inlineStr">
        <is>
          <t>B. FREE CASH FLOW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4" t="inlineStr">
        <is>
          <t>EBITDA</t>
        </is>
      </c>
      <c r="C18" s="18">
        <f>C7</f>
        <v/>
      </c>
      <c r="D18" s="18">
        <f>D7</f>
        <v/>
      </c>
      <c r="E18" s="18">
        <f>E7</f>
        <v/>
      </c>
      <c r="F18" s="18">
        <f>F7</f>
        <v/>
      </c>
      <c r="G18" s="18">
        <f>G7</f>
        <v/>
      </c>
      <c r="H18" s="18">
        <f>H7</f>
        <v/>
      </c>
      <c r="I18" s="18">
        <f>I7</f>
        <v/>
      </c>
      <c r="J18" s="18">
        <f>J7</f>
        <v/>
      </c>
      <c r="K18" s="18">
        <f>K7</f>
        <v/>
      </c>
    </row>
    <row r="19">
      <c r="A19" s="14" t="inlineStr">
        <is>
          <t>(-) Cash tax</t>
        </is>
      </c>
      <c r="C19" s="18">
        <f>C14</f>
        <v/>
      </c>
      <c r="D19" s="18">
        <f>D14</f>
        <v/>
      </c>
      <c r="E19" s="18">
        <f>E14</f>
        <v/>
      </c>
      <c r="F19" s="18">
        <f>F14</f>
        <v/>
      </c>
      <c r="G19" s="18">
        <f>G14</f>
        <v/>
      </c>
      <c r="H19" s="18">
        <f>H14</f>
        <v/>
      </c>
      <c r="I19" s="18">
        <f>I14</f>
        <v/>
      </c>
      <c r="J19" s="18">
        <f>J14</f>
        <v/>
      </c>
      <c r="K19" s="18">
        <f>K14</f>
        <v/>
      </c>
    </row>
    <row r="20">
      <c r="A20" s="14" t="inlineStr">
        <is>
          <t>(-) Increase in working capital</t>
        </is>
      </c>
      <c r="C20" s="18" t="n"/>
      <c r="D20" s="18" t="n"/>
      <c r="E20" s="18" t="n"/>
      <c r="F20" s="18" t="n"/>
      <c r="G20" s="18">
        <f>-(G5-F5)*Assumptions!G11</f>
        <v/>
      </c>
      <c r="H20" s="18">
        <f>-(H5-G5)*Assumptions!H11</f>
        <v/>
      </c>
      <c r="I20" s="18">
        <f>-(I5-H5)*Assumptions!I11</f>
        <v/>
      </c>
      <c r="J20" s="18">
        <f>-(J5-I5)*Assumptions!J11</f>
        <v/>
      </c>
      <c r="K20" s="18">
        <f>-(K5-J5)*Assumptions!K11</f>
        <v/>
      </c>
    </row>
    <row r="21">
      <c r="A21" s="23" t="inlineStr">
        <is>
          <t>Operating cash flow</t>
        </is>
      </c>
      <c r="C21" s="24">
        <f>C18+C19+IF(C20="",0,C20)</f>
        <v/>
      </c>
      <c r="D21" s="24">
        <f>D18+D19+IF(D20="",0,D20)</f>
        <v/>
      </c>
      <c r="E21" s="24">
        <f>E18+E19+IF(E20="",0,E20)</f>
        <v/>
      </c>
      <c r="F21" s="24">
        <f>F18+F19+IF(F20="",0,F20)</f>
        <v/>
      </c>
      <c r="G21" s="24">
        <f>G18+G19+IF(G20="",0,G20)</f>
        <v/>
      </c>
      <c r="H21" s="24">
        <f>H18+H19+IF(H20="",0,H20)</f>
        <v/>
      </c>
      <c r="I21" s="24">
        <f>I18+I19+IF(I20="",0,I20)</f>
        <v/>
      </c>
      <c r="J21" s="24">
        <f>J18+J19+IF(J20="",0,J20)</f>
        <v/>
      </c>
      <c r="K21" s="24">
        <f>K18+K19+IF(K20="",0,K20)</f>
        <v/>
      </c>
    </row>
    <row r="22">
      <c r="A22" s="14" t="inlineStr">
        <is>
          <t>(-) Capex</t>
        </is>
      </c>
      <c r="C22" s="18">
        <f>-Assumptions!C12</f>
        <v/>
      </c>
      <c r="D22" s="18">
        <f>-Assumptions!D12</f>
        <v/>
      </c>
      <c r="E22" s="18">
        <f>-Assumptions!E12</f>
        <v/>
      </c>
      <c r="F22" s="18">
        <f>-Assumptions!F12</f>
        <v/>
      </c>
      <c r="G22" s="18">
        <f>-Assumptions!G12</f>
        <v/>
      </c>
      <c r="H22" s="18">
        <f>-Assumptions!H12</f>
        <v/>
      </c>
      <c r="I22" s="18">
        <f>-Assumptions!I12</f>
        <v/>
      </c>
      <c r="J22" s="18">
        <f>-Assumptions!J12</f>
        <v/>
      </c>
      <c r="K22" s="18">
        <f>-Assumptions!K12</f>
        <v/>
      </c>
    </row>
    <row r="23">
      <c r="A23" s="14" t="inlineStr">
        <is>
          <t>(-) Lease principal repayment</t>
        </is>
      </c>
      <c r="C23" s="18">
        <f>-Assumptions!C17</f>
        <v/>
      </c>
      <c r="D23" s="18">
        <f>-Assumptions!D17</f>
        <v/>
      </c>
      <c r="E23" s="18">
        <f>-Assumptions!E17</f>
        <v/>
      </c>
      <c r="F23" s="18">
        <f>-Assumptions!F17</f>
        <v/>
      </c>
      <c r="G23" s="18">
        <f>-Assumptions!G17</f>
        <v/>
      </c>
      <c r="H23" s="18">
        <f>-Assumptions!H17</f>
        <v/>
      </c>
      <c r="I23" s="18">
        <f>-Assumptions!I17</f>
        <v/>
      </c>
      <c r="J23" s="18">
        <f>-Assumptions!J17</f>
        <v/>
      </c>
      <c r="K23" s="18">
        <f>-Assumptions!K17</f>
        <v/>
      </c>
    </row>
    <row r="24">
      <c r="A24" s="14" t="inlineStr">
        <is>
          <t>(-) Lease interest paid</t>
        </is>
      </c>
      <c r="C24" s="18">
        <f>-'Debt Schedule'!C21</f>
        <v/>
      </c>
      <c r="D24" s="18">
        <f>-'Debt Schedule'!D21</f>
        <v/>
      </c>
      <c r="E24" s="18">
        <f>-'Debt Schedule'!E21</f>
        <v/>
      </c>
      <c r="F24" s="18">
        <f>-'Debt Schedule'!F21</f>
        <v/>
      </c>
      <c r="G24" s="18">
        <f>-'Debt Schedule'!G21</f>
        <v/>
      </c>
      <c r="H24" s="18">
        <f>-'Debt Schedule'!H21</f>
        <v/>
      </c>
      <c r="I24" s="18">
        <f>-'Debt Schedule'!I21</f>
        <v/>
      </c>
      <c r="J24" s="18">
        <f>-'Debt Schedule'!J21</f>
        <v/>
      </c>
      <c r="K24" s="18">
        <f>-'Debt Schedule'!K21</f>
        <v/>
      </c>
    </row>
    <row r="25">
      <c r="A25" s="14" t="inlineStr">
        <is>
          <t>(-) Other interest paid</t>
        </is>
      </c>
      <c r="C25" s="18">
        <f>-'Debt Schedule'!C23</f>
        <v/>
      </c>
      <c r="D25" s="18">
        <f>-'Debt Schedule'!D23</f>
        <v/>
      </c>
      <c r="E25" s="18">
        <f>-'Debt Schedule'!E23</f>
        <v/>
      </c>
      <c r="F25" s="18">
        <f>-'Debt Schedule'!F23</f>
        <v/>
      </c>
      <c r="G25" s="18">
        <f>-'Debt Schedule'!G23</f>
        <v/>
      </c>
      <c r="H25" s="18">
        <f>-'Debt Schedule'!H23</f>
        <v/>
      </c>
      <c r="I25" s="18">
        <f>-'Debt Schedule'!I23</f>
        <v/>
      </c>
      <c r="J25" s="18">
        <f>-'Debt Schedule'!J23</f>
        <v/>
      </c>
      <c r="K25" s="18">
        <f>-'Debt Schedule'!K23</f>
        <v/>
      </c>
    </row>
    <row r="26">
      <c r="A26" s="14" t="inlineStr">
        <is>
          <t>(+/-) Net borrowings draw/(repay)</t>
        </is>
      </c>
      <c r="C26" s="18">
        <f>Assumptions!C20-Assumptions!C21</f>
        <v/>
      </c>
      <c r="D26" s="18">
        <f>Assumptions!D20-Assumptions!D21</f>
        <v/>
      </c>
      <c r="E26" s="18">
        <f>Assumptions!E20-Assumptions!E21</f>
        <v/>
      </c>
      <c r="F26" s="18">
        <f>Assumptions!F20-Assumptions!F21</f>
        <v/>
      </c>
      <c r="G26" s="18">
        <f>Assumptions!G20-Assumptions!G21</f>
        <v/>
      </c>
      <c r="H26" s="18">
        <f>Assumptions!H20-Assumptions!H21</f>
        <v/>
      </c>
      <c r="I26" s="18">
        <f>Assumptions!I20-Assumptions!I21</f>
        <v/>
      </c>
      <c r="J26" s="18">
        <f>Assumptions!J20-Assumptions!J21</f>
        <v/>
      </c>
      <c r="K26" s="18">
        <f>Assumptions!K20-Assumptions!K21</f>
        <v/>
      </c>
    </row>
    <row r="27">
      <c r="A27" s="23" t="inlineStr">
        <is>
          <t>Cash flow before dividends &amp; interest income</t>
        </is>
      </c>
      <c r="C27" s="24">
        <f>C21+C22+C23+C24+C25+C26</f>
        <v/>
      </c>
      <c r="D27" s="24">
        <f>D21+D22+D23+D24+D25+D26</f>
        <v/>
      </c>
      <c r="E27" s="24">
        <f>E21+E22+E23+E24+E25+E26</f>
        <v/>
      </c>
      <c r="F27" s="24">
        <f>F21+F22+F23+F24+F25+F26</f>
        <v/>
      </c>
      <c r="G27" s="24">
        <f>G21+G22+G23+G24+G25+G26</f>
        <v/>
      </c>
      <c r="H27" s="24">
        <f>H21+H22+H23+H24+H25+H26</f>
        <v/>
      </c>
      <c r="I27" s="24">
        <f>I21+I22+I23+I24+I25+I26</f>
        <v/>
      </c>
      <c r="J27" s="24">
        <f>J21+J22+J23+J24+J25+J26</f>
        <v/>
      </c>
      <c r="K27" s="24">
        <f>K21+K22+K23+K24+K25+K26</f>
        <v/>
      </c>
    </row>
    <row r="28">
      <c r="A28" s="33" t="inlineStr">
        <is>
          <t>(+) Interest income received</t>
        </is>
      </c>
      <c r="C28" s="34" t="n"/>
      <c r="D28" s="34" t="n"/>
      <c r="E28" s="34" t="n"/>
      <c r="F28" s="34" t="n"/>
      <c r="G28" s="34">
        <f>G10</f>
        <v/>
      </c>
      <c r="H28" s="34">
        <f>H10</f>
        <v/>
      </c>
      <c r="I28" s="34">
        <f>I10</f>
        <v/>
      </c>
      <c r="J28" s="34">
        <f>J10</f>
        <v/>
      </c>
      <c r="K28" s="34">
        <f>K10</f>
        <v/>
      </c>
    </row>
    <row r="29">
      <c r="A29" s="14" t="inlineStr">
        <is>
          <t>(-) Dividends paid</t>
        </is>
      </c>
      <c r="C29" s="18" t="n"/>
      <c r="D29" s="18" t="n"/>
      <c r="E29" s="18" t="n"/>
      <c r="F29" s="18" t="n"/>
      <c r="G29" s="18">
        <f>-G15*Assumptions!G10</f>
        <v/>
      </c>
      <c r="H29" s="18">
        <f>-H15*Assumptions!H10</f>
        <v/>
      </c>
      <c r="I29" s="18">
        <f>-I15*Assumptions!I10</f>
        <v/>
      </c>
      <c r="J29" s="18">
        <f>-J15*Assumptions!J10</f>
        <v/>
      </c>
      <c r="K29" s="18">
        <f>-K15*Assumptions!K10</f>
        <v/>
      </c>
    </row>
    <row r="30">
      <c r="A30" s="23" t="inlineStr">
        <is>
          <t>Net change in treasury</t>
        </is>
      </c>
      <c r="C30" s="24" t="n"/>
      <c r="D30" s="24" t="n"/>
      <c r="E30" s="24" t="n"/>
      <c r="F30" s="24" t="n"/>
      <c r="G30" s="24">
        <f>G27+G28+G29</f>
        <v/>
      </c>
      <c r="H30" s="24">
        <f>H27+H28+H29</f>
        <v/>
      </c>
      <c r="I30" s="24">
        <f>I27+I28+I29</f>
        <v/>
      </c>
      <c r="J30" s="24">
        <f>J27+J28+J29</f>
        <v/>
      </c>
      <c r="K30" s="24">
        <f>K27+K28+K29</f>
        <v/>
      </c>
    </row>
    <row r="32">
      <c r="A32" s="12" t="inlineStr">
        <is>
          <t>C. TREASURY ROLL-FORWARD (cash + deposits + MF)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4" t="inlineStr">
        <is>
          <t>Opening treasury</t>
        </is>
      </c>
      <c r="C33" s="18" t="n"/>
      <c r="D33" s="18">
        <f>'Historicals'!C32</f>
        <v/>
      </c>
      <c r="E33" s="18">
        <f>'Historicals'!D32</f>
        <v/>
      </c>
      <c r="F33" s="18">
        <f>'Historicals'!E32</f>
        <v/>
      </c>
      <c r="G33" s="18">
        <f>F35</f>
        <v/>
      </c>
      <c r="H33" s="18">
        <f>G35</f>
        <v/>
      </c>
      <c r="I33" s="18">
        <f>H35</f>
        <v/>
      </c>
      <c r="J33" s="18">
        <f>I35</f>
        <v/>
      </c>
      <c r="K33" s="18">
        <f>J35</f>
        <v/>
      </c>
    </row>
    <row r="34">
      <c r="A34" s="14" t="inlineStr">
        <is>
          <t>(+) Net change in treasury</t>
        </is>
      </c>
      <c r="C34" s="18" t="n"/>
      <c r="D34" s="18" t="n"/>
      <c r="E34" s="18" t="n"/>
      <c r="F34" s="18" t="n"/>
      <c r="G34" s="18">
        <f>G30</f>
        <v/>
      </c>
      <c r="H34" s="18">
        <f>H30</f>
        <v/>
      </c>
      <c r="I34" s="18">
        <f>I30</f>
        <v/>
      </c>
      <c r="J34" s="18">
        <f>J30</f>
        <v/>
      </c>
      <c r="K34" s="18">
        <f>K30</f>
        <v/>
      </c>
    </row>
    <row r="35">
      <c r="A35" s="37" t="inlineStr">
        <is>
          <t>Closing treasury</t>
        </is>
      </c>
      <c r="C35" s="38">
        <f>'Historicals'!C32</f>
        <v/>
      </c>
      <c r="D35" s="38">
        <f>'Historicals'!D32</f>
        <v/>
      </c>
      <c r="E35" s="38">
        <f>'Historicals'!E32</f>
        <v/>
      </c>
      <c r="F35" s="38">
        <f>'Historicals'!F32</f>
        <v/>
      </c>
      <c r="G35" s="38">
        <f>G33+G34</f>
        <v/>
      </c>
      <c r="H35" s="38">
        <f>H33+H34</f>
        <v/>
      </c>
      <c r="I35" s="38">
        <f>I33+I34</f>
        <v/>
      </c>
      <c r="J35" s="38">
        <f>J33+J34</f>
        <v/>
      </c>
      <c r="K35" s="38">
        <f>K33+K34</f>
        <v/>
      </c>
    </row>
    <row r="36">
      <c r="A36" s="39" t="inlineStr">
        <is>
          <t>Memo: interest income (yield x opening)</t>
        </is>
      </c>
      <c r="C36" s="34">
        <f>Assumptions!C26*C33</f>
        <v/>
      </c>
      <c r="D36" s="34">
        <f>Assumptions!D26*D33</f>
        <v/>
      </c>
      <c r="E36" s="34">
        <f>Assumptions!E26*E33</f>
        <v/>
      </c>
      <c r="F36" s="34">
        <f>Assumptions!F26*F33</f>
        <v/>
      </c>
      <c r="G36" s="34">
        <f>Assumptions!G26*G33</f>
        <v/>
      </c>
      <c r="H36" s="34">
        <f>Assumptions!H26*H33</f>
        <v/>
      </c>
      <c r="I36" s="34">
        <f>Assumptions!I26*I33</f>
        <v/>
      </c>
      <c r="J36" s="34">
        <f>Assumptions!J26*J33</f>
        <v/>
      </c>
      <c r="K36" s="34">
        <f>Assumptions!K26*K33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K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8" t="inlineStr">
        <is>
          <t xml:space="preserve">  OUTPUT SUMMARY  -  Debt, Net Debt, Interest &amp; Ratios   (Rs crore)</t>
        </is>
      </c>
    </row>
    <row r="3">
      <c r="A3" s="9" t="inlineStr">
        <is>
          <t>Rs crore</t>
        </is>
      </c>
      <c r="C3" s="10" t="inlineStr">
        <is>
          <t>FY22A</t>
        </is>
      </c>
      <c r="D3" s="10" t="inlineStr">
        <is>
          <t>FY23A</t>
        </is>
      </c>
      <c r="E3" s="10" t="inlineStr">
        <is>
          <t>FY24A</t>
        </is>
      </c>
      <c r="F3" s="10" t="inlineStr">
        <is>
          <t>FY25A</t>
        </is>
      </c>
      <c r="G3" s="11" t="inlineStr">
        <is>
          <t>FY26E</t>
        </is>
      </c>
      <c r="H3" s="11" t="inlineStr">
        <is>
          <t>FY27E</t>
        </is>
      </c>
      <c r="I3" s="11" t="inlineStr">
        <is>
          <t>FY28E</t>
        </is>
      </c>
      <c r="J3" s="11" t="inlineStr">
        <is>
          <t>FY29E</t>
        </is>
      </c>
      <c r="K3" s="11" t="inlineStr">
        <is>
          <t>FY30E</t>
        </is>
      </c>
    </row>
    <row r="4">
      <c r="A4" s="12" t="inlineStr">
        <is>
          <t>DEBT &amp; LIQUIDITY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23" t="inlineStr">
        <is>
          <t>Total lease liabilities</t>
        </is>
      </c>
      <c r="C5" s="24">
        <f>'Debt Schedule'!C9</f>
        <v/>
      </c>
      <c r="D5" s="24">
        <f>'Debt Schedule'!D9</f>
        <v/>
      </c>
      <c r="E5" s="24">
        <f>'Debt Schedule'!E9</f>
        <v/>
      </c>
      <c r="F5" s="24">
        <f>'Debt Schedule'!F9</f>
        <v/>
      </c>
      <c r="G5" s="24">
        <f>'Debt Schedule'!G9</f>
        <v/>
      </c>
      <c r="H5" s="24">
        <f>'Debt Schedule'!H9</f>
        <v/>
      </c>
      <c r="I5" s="24">
        <f>'Debt Schedule'!I9</f>
        <v/>
      </c>
      <c r="J5" s="24">
        <f>'Debt Schedule'!J9</f>
        <v/>
      </c>
      <c r="K5" s="24">
        <f>'Debt Schedule'!K9</f>
        <v/>
      </c>
    </row>
    <row r="6">
      <c r="A6" s="14" t="inlineStr">
        <is>
          <t>Total borrowings</t>
        </is>
      </c>
      <c r="C6" s="18">
        <f>'Debt Schedule'!C17</f>
        <v/>
      </c>
      <c r="D6" s="18">
        <f>'Debt Schedule'!D17</f>
        <v/>
      </c>
      <c r="E6" s="18">
        <f>'Debt Schedule'!E17</f>
        <v/>
      </c>
      <c r="F6" s="18">
        <f>'Debt Schedule'!F17</f>
        <v/>
      </c>
      <c r="G6" s="18">
        <f>'Debt Schedule'!G17</f>
        <v/>
      </c>
      <c r="H6" s="18">
        <f>'Debt Schedule'!H17</f>
        <v/>
      </c>
      <c r="I6" s="18">
        <f>'Debt Schedule'!I17</f>
        <v/>
      </c>
      <c r="J6" s="18">
        <f>'Debt Schedule'!J17</f>
        <v/>
      </c>
      <c r="K6" s="18">
        <f>'Debt Schedule'!K17</f>
        <v/>
      </c>
    </row>
    <row r="7">
      <c r="A7" s="30" t="inlineStr">
        <is>
          <t>Total debt</t>
        </is>
      </c>
      <c r="C7" s="31">
        <f>'Debt Schedule'!C25</f>
        <v/>
      </c>
      <c r="D7" s="31">
        <f>'Debt Schedule'!D25</f>
        <v/>
      </c>
      <c r="E7" s="31">
        <f>'Debt Schedule'!E25</f>
        <v/>
      </c>
      <c r="F7" s="31">
        <f>'Debt Schedule'!F25</f>
        <v/>
      </c>
      <c r="G7" s="31">
        <f>'Debt Schedule'!G25</f>
        <v/>
      </c>
      <c r="H7" s="31">
        <f>'Debt Schedule'!H25</f>
        <v/>
      </c>
      <c r="I7" s="31">
        <f>'Debt Schedule'!I25</f>
        <v/>
      </c>
      <c r="J7" s="31">
        <f>'Debt Schedule'!J25</f>
        <v/>
      </c>
      <c r="K7" s="31">
        <f>'Debt Schedule'!K25</f>
        <v/>
      </c>
    </row>
    <row r="8">
      <c r="A8" s="37" t="inlineStr">
        <is>
          <t>Treasury (cash + deposits + MF)</t>
        </is>
      </c>
      <c r="C8" s="38">
        <f>'Cash Schedule'!C35</f>
        <v/>
      </c>
      <c r="D8" s="38">
        <f>'Cash Schedule'!D35</f>
        <v/>
      </c>
      <c r="E8" s="38">
        <f>'Cash Schedule'!E35</f>
        <v/>
      </c>
      <c r="F8" s="38">
        <f>'Cash Schedule'!F35</f>
        <v/>
      </c>
      <c r="G8" s="38">
        <f>'Cash Schedule'!G35</f>
        <v/>
      </c>
      <c r="H8" s="38">
        <f>'Cash Schedule'!H35</f>
        <v/>
      </c>
      <c r="I8" s="38">
        <f>'Cash Schedule'!I35</f>
        <v/>
      </c>
      <c r="J8" s="38">
        <f>'Cash Schedule'!J35</f>
        <v/>
      </c>
      <c r="K8" s="38">
        <f>'Cash Schedule'!K35</f>
        <v/>
      </c>
    </row>
    <row r="9">
      <c r="A9" s="23" t="inlineStr">
        <is>
          <t>Net debt / (net cash)</t>
        </is>
      </c>
      <c r="C9" s="24">
        <f>C7-C8</f>
        <v/>
      </c>
      <c r="D9" s="24">
        <f>D7-D8</f>
        <v/>
      </c>
      <c r="E9" s="24">
        <f>E7-E8</f>
        <v/>
      </c>
      <c r="F9" s="24">
        <f>F7-F8</f>
        <v/>
      </c>
      <c r="G9" s="24">
        <f>G7-G8</f>
        <v/>
      </c>
      <c r="H9" s="24">
        <f>H7-H8</f>
        <v/>
      </c>
      <c r="I9" s="24">
        <f>I7-I8</f>
        <v/>
      </c>
      <c r="J9" s="24">
        <f>J7-J8</f>
        <v/>
      </c>
      <c r="K9" s="24">
        <f>K7-K8</f>
        <v/>
      </c>
    </row>
    <row r="11">
      <c r="A11" s="12" t="inlineStr">
        <is>
          <t>INTEREST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35" t="inlineStr">
        <is>
          <t>Interest expense (finance cost)</t>
        </is>
      </c>
      <c r="C12" s="36">
        <f>'Debt Schedule'!C24</f>
        <v/>
      </c>
      <c r="D12" s="36">
        <f>'Debt Schedule'!D24</f>
        <v/>
      </c>
      <c r="E12" s="36">
        <f>'Debt Schedule'!E24</f>
        <v/>
      </c>
      <c r="F12" s="36">
        <f>'Debt Schedule'!F24</f>
        <v/>
      </c>
      <c r="G12" s="36">
        <f>'Debt Schedule'!G24</f>
        <v/>
      </c>
      <c r="H12" s="36">
        <f>'Debt Schedule'!H24</f>
        <v/>
      </c>
      <c r="I12" s="36">
        <f>'Debt Schedule'!I24</f>
        <v/>
      </c>
      <c r="J12" s="36">
        <f>'Debt Schedule'!J24</f>
        <v/>
      </c>
      <c r="K12" s="36">
        <f>'Debt Schedule'!K24</f>
        <v/>
      </c>
    </row>
    <row r="13">
      <c r="A13" s="33" t="inlineStr">
        <is>
          <t>Interest income</t>
        </is>
      </c>
      <c r="C13" s="34" t="n"/>
      <c r="D13" s="34" t="n"/>
      <c r="E13" s="34" t="n"/>
      <c r="F13" s="34" t="n"/>
      <c r="G13" s="34">
        <f>'Cash Schedule'!G10</f>
        <v/>
      </c>
      <c r="H13" s="34">
        <f>'Cash Schedule'!H10</f>
        <v/>
      </c>
      <c r="I13" s="34">
        <f>'Cash Schedule'!I10</f>
        <v/>
      </c>
      <c r="J13" s="34">
        <f>'Cash Schedule'!J10</f>
        <v/>
      </c>
      <c r="K13" s="34">
        <f>'Cash Schedule'!K10</f>
        <v/>
      </c>
    </row>
    <row r="14">
      <c r="A14" s="23" t="inlineStr">
        <is>
          <t>Net interest expense / (income)</t>
        </is>
      </c>
      <c r="C14" s="24" t="n"/>
      <c r="D14" s="24" t="n"/>
      <c r="E14" s="24" t="n"/>
      <c r="F14" s="24" t="n"/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</row>
    <row r="16">
      <c r="A16" s="12" t="inlineStr">
        <is>
          <t>KEY RATIOS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4" t="inlineStr">
        <is>
          <t>EBITDA</t>
        </is>
      </c>
      <c r="C17" s="18">
        <f>'Cash Schedule'!C7</f>
        <v/>
      </c>
      <c r="D17" s="18">
        <f>'Cash Schedule'!D7</f>
        <v/>
      </c>
      <c r="E17" s="18">
        <f>'Cash Schedule'!E7</f>
        <v/>
      </c>
      <c r="F17" s="18">
        <f>'Cash Schedule'!F7</f>
        <v/>
      </c>
      <c r="G17" s="18">
        <f>'Cash Schedule'!G7</f>
        <v/>
      </c>
      <c r="H17" s="18">
        <f>'Cash Schedule'!H7</f>
        <v/>
      </c>
      <c r="I17" s="18">
        <f>'Cash Schedule'!I7</f>
        <v/>
      </c>
      <c r="J17" s="18">
        <f>'Cash Schedule'!J7</f>
        <v/>
      </c>
      <c r="K17" s="18">
        <f>'Cash Schedule'!K7</f>
        <v/>
      </c>
    </row>
    <row r="18">
      <c r="A18" s="14" t="inlineStr">
        <is>
          <t>Net debt / EBITDA (x)</t>
        </is>
      </c>
      <c r="C18" s="40">
        <f>C9/C17</f>
        <v/>
      </c>
      <c r="D18" s="40">
        <f>D9/D17</f>
        <v/>
      </c>
      <c r="E18" s="40">
        <f>E9/E17</f>
        <v/>
      </c>
      <c r="F18" s="40">
        <f>F9/F17</f>
        <v/>
      </c>
      <c r="G18" s="40">
        <f>G9/G17</f>
        <v/>
      </c>
      <c r="H18" s="40">
        <f>H9/H17</f>
        <v/>
      </c>
      <c r="I18" s="40">
        <f>I9/I17</f>
        <v/>
      </c>
      <c r="J18" s="40">
        <f>J9/J17</f>
        <v/>
      </c>
      <c r="K18" s="40">
        <f>K9/K17</f>
        <v/>
      </c>
    </row>
    <row r="19">
      <c r="A19" s="14" t="inlineStr">
        <is>
          <t>EBITDA / interest expense (x)</t>
        </is>
      </c>
      <c r="C19" s="41">
        <f>IF(C12=0,0,C17/C12)</f>
        <v/>
      </c>
      <c r="D19" s="41">
        <f>IF(D12=0,0,D17/D12)</f>
        <v/>
      </c>
      <c r="E19" s="41">
        <f>IF(E12=0,0,E17/E12)</f>
        <v/>
      </c>
      <c r="F19" s="41">
        <f>IF(F12=0,0,F17/F12)</f>
        <v/>
      </c>
      <c r="G19" s="41">
        <f>IF(G12=0,0,G17/G12)</f>
        <v/>
      </c>
      <c r="H19" s="41">
        <f>IF(H12=0,0,H17/H12)</f>
        <v/>
      </c>
      <c r="I19" s="41">
        <f>IF(I12=0,0,I17/I12)</f>
        <v/>
      </c>
      <c r="J19" s="41">
        <f>IF(J12=0,0,J17/J12)</f>
        <v/>
      </c>
      <c r="K19" s="41">
        <f>IF(K12=0,0,K17/K12)</f>
        <v/>
      </c>
    </row>
    <row r="20">
      <c r="A20" s="14" t="inlineStr">
        <is>
          <t>Gross debt / equity (x)</t>
        </is>
      </c>
      <c r="C20" s="40">
        <f>C7/C26</f>
        <v/>
      </c>
      <c r="D20" s="40">
        <f>D7/D26</f>
        <v/>
      </c>
      <c r="E20" s="40">
        <f>E7/E26</f>
        <v/>
      </c>
      <c r="F20" s="40">
        <f>F7/F26</f>
        <v/>
      </c>
      <c r="G20" s="40">
        <f>G7/G26</f>
        <v/>
      </c>
      <c r="H20" s="40">
        <f>H7/H26</f>
        <v/>
      </c>
      <c r="I20" s="40">
        <f>I7/I26</f>
        <v/>
      </c>
      <c r="J20" s="40">
        <f>J7/J26</f>
        <v/>
      </c>
      <c r="K20" s="40">
        <f>K7/K26</f>
        <v/>
      </c>
    </row>
    <row r="22">
      <c r="A22" s="12" t="inlineStr">
        <is>
          <t>MEMO: EQUITY ROLL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4" t="inlineStr">
        <is>
          <t>Opening equity</t>
        </is>
      </c>
      <c r="C23" s="18" t="n"/>
      <c r="D23" s="18">
        <f>'Historicals'!C34</f>
        <v/>
      </c>
      <c r="E23" s="18">
        <f>'Historicals'!D34</f>
        <v/>
      </c>
      <c r="F23" s="18">
        <f>'Historicals'!E34</f>
        <v/>
      </c>
      <c r="G23" s="18">
        <f>F26</f>
        <v/>
      </c>
      <c r="H23" s="18">
        <f>G26</f>
        <v/>
      </c>
      <c r="I23" s="18">
        <f>H26</f>
        <v/>
      </c>
      <c r="J23" s="18">
        <f>I26</f>
        <v/>
      </c>
      <c r="K23" s="18">
        <f>J26</f>
        <v/>
      </c>
    </row>
    <row r="24">
      <c r="A24" s="14" t="inlineStr">
        <is>
          <t>(+) PAT</t>
        </is>
      </c>
      <c r="C24" s="18">
        <f>'Cash Schedule'!C15</f>
        <v/>
      </c>
      <c r="D24" s="18">
        <f>'Cash Schedule'!D15</f>
        <v/>
      </c>
      <c r="E24" s="18">
        <f>'Cash Schedule'!E15</f>
        <v/>
      </c>
      <c r="F24" s="18">
        <f>'Cash Schedule'!F15</f>
        <v/>
      </c>
      <c r="G24" s="18">
        <f>'Cash Schedule'!G15</f>
        <v/>
      </c>
      <c r="H24" s="18">
        <f>'Cash Schedule'!H15</f>
        <v/>
      </c>
      <c r="I24" s="18">
        <f>'Cash Schedule'!I15</f>
        <v/>
      </c>
      <c r="J24" s="18">
        <f>'Cash Schedule'!J15</f>
        <v/>
      </c>
      <c r="K24" s="18">
        <f>'Cash Schedule'!K15</f>
        <v/>
      </c>
    </row>
    <row r="25">
      <c r="A25" s="14" t="inlineStr">
        <is>
          <t>(-) Dividends</t>
        </is>
      </c>
      <c r="C25" s="18" t="n"/>
      <c r="D25" s="18" t="n"/>
      <c r="E25" s="18" t="n"/>
      <c r="F25" s="18" t="n"/>
      <c r="G25" s="18">
        <f>'Cash Schedule'!G29</f>
        <v/>
      </c>
      <c r="H25" s="18">
        <f>'Cash Schedule'!H29</f>
        <v/>
      </c>
      <c r="I25" s="18">
        <f>'Cash Schedule'!I29</f>
        <v/>
      </c>
      <c r="J25" s="18">
        <f>'Cash Schedule'!J29</f>
        <v/>
      </c>
      <c r="K25" s="18">
        <f>'Cash Schedule'!K29</f>
        <v/>
      </c>
    </row>
    <row r="26">
      <c r="A26" s="23" t="inlineStr">
        <is>
          <t>Closing equity</t>
        </is>
      </c>
      <c r="C26" s="24">
        <f>'Historicals'!C34</f>
        <v/>
      </c>
      <c r="D26" s="24">
        <f>'Historicals'!D34</f>
        <v/>
      </c>
      <c r="E26" s="24">
        <f>'Historicals'!E34</f>
        <v/>
      </c>
      <c r="F26" s="24">
        <f>'Historicals'!F34</f>
        <v/>
      </c>
      <c r="G26" s="24">
        <f>G23+G24+G25</f>
        <v/>
      </c>
      <c r="H26" s="24">
        <f>H23+H24+H25</f>
        <v/>
      </c>
      <c r="I26" s="24">
        <f>I23+I24+I25</f>
        <v/>
      </c>
      <c r="J26" s="24">
        <f>J23+J24+J25</f>
        <v/>
      </c>
      <c r="K26" s="24">
        <f>K23+K24+K25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2026-06-07T11:21:15Z</dcterms:created>
  <dcterms:modified xsi:type="dcterms:W3CDTF">2026-06-07T11:21:15Z</dcterms:modified>
</cp:coreProperties>
</file>