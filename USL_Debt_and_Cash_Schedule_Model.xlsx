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" sheetId="2" state="visible" r:id="rId2"/>
    <sheet name="Debt Schedule" sheetId="3" state="visible" r:id="rId3"/>
    <sheet name="Cash Schedule" sheetId="4" state="visible" r:id="rId4"/>
    <sheet name="P&amp;L &amp; Net Inter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(#,##0.0)"/>
    <numFmt numFmtId="165" formatCode="0.0%"/>
  </numFmts>
  <fonts count="13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2E5395"/>
      <sz val="11"/>
    </font>
    <font>
      <b val="1"/>
      <color rgb="001F3864"/>
    </font>
    <font>
      <b val="1"/>
      <color rgb="00FFFFFF"/>
    </font>
    <font>
      <b val="1"/>
    </font>
    <font>
      <b val="1"/>
      <color rgb="00FFFFFF"/>
      <sz val="12"/>
    </font>
    <font>
      <b val="1"/>
      <i val="1"/>
      <color rgb="00595959"/>
      <sz val="9"/>
    </font>
    <font>
      <b val="1"/>
      <color rgb="00FFFFFF"/>
      <sz val="10"/>
    </font>
    <font>
      <color rgb="00000000"/>
    </font>
    <font>
      <i val="1"/>
      <color rgb="00808080"/>
      <sz val="8"/>
    </font>
    <font>
      <b val="1"/>
      <color rgb="00000000"/>
    </font>
    <font>
      <i val="1"/>
      <color rgb="00000000"/>
    </font>
  </fonts>
  <fills count="9">
    <fill>
      <patternFill/>
    </fill>
    <fill>
      <patternFill patternType="gray125"/>
    </fill>
    <fill>
      <patternFill patternType="solid">
        <fgColor rgb="002E5395"/>
      </patternFill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0" fillId="2" borderId="0" pivotButton="0" quotePrefix="0" xfId="0"/>
    <xf numFmtId="0" fontId="5" fillId="3" borderId="1" pivotButton="0" quotePrefix="0" xfId="0"/>
    <xf numFmtId="0" fontId="0" fillId="0" borderId="1" applyAlignment="1" pivotButton="0" quotePrefix="0" xfId="0">
      <alignment indent="1"/>
    </xf>
    <xf numFmtId="164" fontId="0" fillId="0" borderId="1" pivotButton="0" quotePrefix="0" xfId="0"/>
    <xf numFmtId="0" fontId="6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9" fillId="0" borderId="0" applyAlignment="1" pivotButton="0" quotePrefix="0" xfId="0">
      <alignment indent="1"/>
    </xf>
    <xf numFmtId="165" fontId="9" fillId="6" borderId="1" applyAlignment="1" pivotButton="0" quotePrefix="0" xfId="0">
      <alignment horizontal="right"/>
    </xf>
    <xf numFmtId="165" fontId="9" fillId="7" borderId="1" applyAlignment="1" pivotButton="0" quotePrefix="0" xfId="0">
      <alignment horizontal="right"/>
    </xf>
    <xf numFmtId="0" fontId="10" fillId="0" borderId="0" pivotButton="0" quotePrefix="0" xfId="0"/>
    <xf numFmtId="164" fontId="9" fillId="6" borderId="1" applyAlignment="1" pivotButton="0" quotePrefix="0" xfId="0">
      <alignment horizontal="right"/>
    </xf>
    <xf numFmtId="164" fontId="9" fillId="7" borderId="1" applyAlignment="1" pivotButton="0" quotePrefix="0" xfId="0">
      <alignment horizontal="right"/>
    </xf>
    <xf numFmtId="164" fontId="9" fillId="0" borderId="1" applyAlignment="1" pivotButton="0" quotePrefix="0" xfId="0">
      <alignment horizontal="right"/>
    </xf>
    <xf numFmtId="0" fontId="9" fillId="0" borderId="0" applyAlignment="1" pivotButton="0" quotePrefix="0" xfId="0">
      <alignment indent="2"/>
    </xf>
    <xf numFmtId="0" fontId="11" fillId="0" borderId="0" applyAlignment="1" pivotButton="0" quotePrefix="0" xfId="0">
      <alignment indent="1"/>
    </xf>
    <xf numFmtId="164" fontId="11" fillId="6" borderId="1" applyAlignment="1" pivotButton="0" quotePrefix="0" xfId="0">
      <alignment horizontal="right"/>
    </xf>
    <xf numFmtId="164" fontId="11" fillId="0" borderId="1" applyAlignment="1" pivotButton="0" quotePrefix="0" xfId="0">
      <alignment horizontal="right"/>
    </xf>
    <xf numFmtId="0" fontId="12" fillId="0" borderId="0" applyAlignment="1" pivotButton="0" quotePrefix="0" xfId="0">
      <alignment indent="1"/>
    </xf>
    <xf numFmtId="164" fontId="12" fillId="0" borderId="1" applyAlignment="1" pivotButton="0" quotePrefix="0" xfId="0">
      <alignment horizontal="right"/>
    </xf>
    <xf numFmtId="0" fontId="12" fillId="0" borderId="0" applyAlignment="1" pivotButton="0" quotePrefix="0" xfId="0">
      <alignment indent="2"/>
    </xf>
    <xf numFmtId="164" fontId="11" fillId="3" borderId="1" applyAlignment="1" pivotButton="0" quotePrefix="0" xfId="0">
      <alignment horizontal="right"/>
    </xf>
    <xf numFmtId="164" fontId="11" fillId="7" borderId="1" applyAlignment="1" pivotButton="0" quotePrefix="0" xfId="0">
      <alignment horizontal="right"/>
    </xf>
    <xf numFmtId="164" fontId="11" fillId="8" borderId="1" applyAlignment="1" pivotButton="0" quotePrefix="0" xfId="0">
      <alignment horizontal="right"/>
    </xf>
    <xf numFmtId="164" fontId="1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>
      <c r="B2" s="1" t="inlineStr">
        <is>
          <t>UNITED SPIRITS LIMITED (USL)</t>
        </is>
      </c>
    </row>
    <row r="3">
      <c r="B3" s="2" t="inlineStr">
        <is>
          <t>Debt Schedule &amp; Cash Schedule  |  Consolidated  |  Net-interest forecast</t>
        </is>
      </c>
    </row>
    <row r="6" ht="42" customHeight="1">
      <c r="B6" s="3" t="inlineStr">
        <is>
          <t>Purpose</t>
        </is>
      </c>
      <c r="C6" s="4" t="inlineStr">
        <is>
          <t>Model USL's borrowings, lease liabilities and treasury (cash + bank deposits + current investments) to forecast finance cost, investment income and NET INTEREST.</t>
        </is>
      </c>
    </row>
    <row r="7" ht="42" customHeight="1">
      <c r="B7" s="3" t="inlineStr">
        <is>
          <t>Key finding</t>
        </is>
      </c>
      <c r="C7" s="4" t="inlineStr">
        <is>
          <t>USL is effectively debt-free (external borrowings ~0 since FY2024). Its only interest-bearing 'debt' is lease liabilities (Ind AS 116). It is cash-rich, so investment income exceeds finance cost and NET INTEREST is positive and growing.</t>
        </is>
      </c>
    </row>
    <row r="8" ht="24" customHeight="1">
      <c r="B8" s="3" t="inlineStr">
        <is>
          <t>Units</t>
        </is>
      </c>
      <c r="C8" s="4" t="inlineStr">
        <is>
          <t>All figures in Rs crore unless stated. FY = year ended 31 March.</t>
        </is>
      </c>
    </row>
    <row r="9" ht="24" customHeight="1">
      <c r="B9" s="3" t="inlineStr">
        <is>
          <t>History</t>
        </is>
      </c>
      <c r="C9" s="4" t="inlineStr">
        <is>
          <t>FY2022-FY2025 are ACTUALS from the consolidated financial statements.</t>
        </is>
      </c>
    </row>
    <row r="10" ht="42" customHeight="1">
      <c r="B10" s="3" t="inlineStr">
        <is>
          <t>Sources</t>
        </is>
      </c>
      <c r="C10" s="4" t="inlineStr">
        <is>
          <t>FY2023 Annual Report (figures originally in Rs million, converted /10) for FY2022 &amp; FY2023; FY2025 Annual Report (Rs crore) for FY2024 &amp; FY2025.</t>
        </is>
      </c>
    </row>
    <row r="11" ht="42" customHeight="1">
      <c r="B11" s="3" t="inlineStr">
        <is>
          <t>Forecast</t>
        </is>
      </c>
      <c r="C11" s="4" t="inlineStr">
        <is>
          <t>FY2026E-FY2030E are driver-based. FY2027E-FY2030E is the requested horizon; FY2026E is included as a bridge from the FY2025 actual.</t>
        </is>
      </c>
    </row>
    <row r="12" ht="42" customHeight="1">
      <c r="B12" s="3" t="inlineStr">
        <is>
          <t>How to use</t>
        </is>
      </c>
      <c r="C12" s="4" t="inlineStr">
        <is>
          <t>Edit the yellow cells on the 'Assumptions' sheet only. Every other number is a live formula that recalculates automatically.</t>
        </is>
      </c>
    </row>
    <row r="13" ht="42" customHeight="1">
      <c r="B13" s="3" t="inlineStr">
        <is>
          <t>No circularity</t>
        </is>
      </c>
      <c r="C13" s="4" t="inlineStr">
        <is>
          <t>Investment income is earned on the OPENING treasury balance and lease interest on the OPENING lease liability, so the model solves without iterative calculation.</t>
        </is>
      </c>
    </row>
    <row r="14" ht="24" customHeight="1">
      <c r="B14" s="3" t="inlineStr">
        <is>
          <t>Sheets</t>
        </is>
      </c>
      <c r="C14" s="4" t="inlineStr">
        <is>
          <t>1) Assumptions  2) Debt Schedule  3) Cash Schedule  4) P&amp;L &amp; Net Interest</t>
        </is>
      </c>
    </row>
    <row r="16">
      <c r="B16" s="5" t="inlineStr">
        <is>
          <t>BASE-YEAR DATA TRACE (Rs crore, consolidated)</t>
        </is>
      </c>
      <c r="C16" s="6" t="n"/>
      <c r="D16" s="6" t="n"/>
      <c r="E16" s="6" t="n"/>
      <c r="F16" s="6" t="n"/>
    </row>
    <row r="17">
      <c r="B17" s="7" t="inlineStr">
        <is>
          <t>Line item</t>
        </is>
      </c>
      <c r="C17" s="7" t="inlineStr">
        <is>
          <t>FY2022</t>
        </is>
      </c>
      <c r="D17" s="7" t="inlineStr">
        <is>
          <t>FY2023</t>
        </is>
      </c>
      <c r="E17" s="7" t="inlineStr">
        <is>
          <t>FY2024</t>
        </is>
      </c>
      <c r="F17" s="7" t="inlineStr">
        <is>
          <t>FY2025</t>
        </is>
      </c>
    </row>
    <row r="18">
      <c r="B18" s="8" t="inlineStr">
        <is>
          <t>Borrowings (current + non-current)</t>
        </is>
      </c>
      <c r="C18" s="9" t="n">
        <v>341.7</v>
      </c>
      <c r="D18" s="9" t="n">
        <v>1.1</v>
      </c>
      <c r="E18" s="9" t="n">
        <v>25</v>
      </c>
      <c r="F18" s="9" t="n">
        <v>0</v>
      </c>
    </row>
    <row r="19">
      <c r="B19" s="8" t="inlineStr">
        <is>
          <t>Lease liabilities (current + non-current)</t>
        </is>
      </c>
      <c r="C19" s="9" t="n">
        <v>263.7</v>
      </c>
      <c r="D19" s="9" t="n">
        <v>182.2</v>
      </c>
      <c r="E19" s="9" t="n">
        <v>240</v>
      </c>
      <c r="F19" s="9" t="n">
        <v>480</v>
      </c>
    </row>
    <row r="20">
      <c r="B20" s="8" t="inlineStr">
        <is>
          <t>Cash &amp; cash equivalents</t>
        </is>
      </c>
      <c r="C20" s="9" t="n">
        <v>54.5</v>
      </c>
      <c r="D20" s="9" t="n">
        <v>115.1</v>
      </c>
      <c r="E20" s="9" t="n">
        <v>1052</v>
      </c>
      <c r="F20" s="9" t="n">
        <v>1328</v>
      </c>
    </row>
    <row r="21">
      <c r="B21" s="8" t="inlineStr">
        <is>
          <t>Bank balances (other deposits)</t>
        </is>
      </c>
      <c r="C21" s="9" t="n">
        <v>5.8</v>
      </c>
      <c r="D21" s="9" t="n">
        <v>768.2</v>
      </c>
      <c r="E21" s="9" t="n">
        <v>217</v>
      </c>
      <c r="F21" s="9" t="n">
        <v>702</v>
      </c>
    </row>
    <row r="22">
      <c r="B22" s="8" t="inlineStr">
        <is>
          <t>Current investments</t>
        </is>
      </c>
      <c r="C22" s="9" t="n">
        <v>222.1</v>
      </c>
      <c r="D22" s="9" t="n">
        <v>255.8</v>
      </c>
      <c r="E22" s="9" t="n">
        <v>599</v>
      </c>
      <c r="F22" s="9" t="n">
        <v>873</v>
      </c>
    </row>
    <row r="23">
      <c r="B23" s="8" t="inlineStr">
        <is>
          <t>Finance costs (P&amp;L)</t>
        </is>
      </c>
      <c r="C23" s="9" t="n">
        <v>88</v>
      </c>
      <c r="D23" s="9" t="n">
        <v>103.9</v>
      </c>
      <c r="E23" s="9" t="n">
        <v>76</v>
      </c>
      <c r="F23" s="9" t="n">
        <v>89</v>
      </c>
    </row>
    <row r="24">
      <c r="B24" s="8" t="inlineStr">
        <is>
          <t>Net revenue (rev. less excise)</t>
        </is>
      </c>
      <c r="C24" s="9" t="n">
        <v>9712.4</v>
      </c>
      <c r="D24" s="9" t="n">
        <v>10611.6</v>
      </c>
      <c r="E24" s="9" t="n">
        <v>11321</v>
      </c>
      <c r="F24" s="9" t="n">
        <v>12069</v>
      </c>
    </row>
    <row r="25">
      <c r="B25" s="8" t="inlineStr">
        <is>
          <t>Profit after tax</t>
        </is>
      </c>
      <c r="C25" s="9" t="n">
        <v>810.6</v>
      </c>
      <c r="D25" s="9" t="n">
        <v>1125.8</v>
      </c>
      <c r="E25" s="9" t="n">
        <v>1408</v>
      </c>
      <c r="F25" s="9" t="n">
        <v>1582</v>
      </c>
    </row>
  </sheetData>
  <mergeCells count="9">
    <mergeCell ref="C12:J12"/>
    <mergeCell ref="C7:J7"/>
    <mergeCell ref="C11:J11"/>
    <mergeCell ref="C6:J6"/>
    <mergeCell ref="C10:J10"/>
    <mergeCell ref="C14:J14"/>
    <mergeCell ref="C13:J13"/>
    <mergeCell ref="C8:J8"/>
    <mergeCell ref="C9:J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</cols>
  <sheetData>
    <row r="1">
      <c r="A1" s="10" t="inlineStr">
        <is>
          <t>USL  |  KEY ASSUMPTIONS  (edit yellow cells only)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</row>
    <row r="3">
      <c r="A3" s="12" t="inlineStr">
        <is>
          <t>Driver</t>
        </is>
      </c>
      <c r="B3" s="13" t="inlineStr">
        <is>
          <t>FY2022A</t>
        </is>
      </c>
      <c r="C3" s="13" t="inlineStr">
        <is>
          <t>FY2023A</t>
        </is>
      </c>
      <c r="D3" s="13" t="inlineStr">
        <is>
          <t>FY2024A</t>
        </is>
      </c>
      <c r="E3" s="13" t="inlineStr">
        <is>
          <t>FY2025A</t>
        </is>
      </c>
      <c r="F3" s="14" t="inlineStr">
        <is>
          <t>FY2026E</t>
        </is>
      </c>
      <c r="G3" s="14" t="inlineStr">
        <is>
          <t>FY2027E</t>
        </is>
      </c>
      <c r="H3" s="14" t="inlineStr">
        <is>
          <t>FY2028E</t>
        </is>
      </c>
      <c r="I3" s="14" t="inlineStr">
        <is>
          <t>FY2029E</t>
        </is>
      </c>
      <c r="J3" s="14" t="inlineStr">
        <is>
          <t>FY2030E</t>
        </is>
      </c>
    </row>
    <row r="4">
      <c r="A4" s="5" t="inlineStr">
        <is>
          <t>Income statement drivers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15" t="inlineStr">
        <is>
          <t>Net revenue growth %</t>
        </is>
      </c>
      <c r="B5" s="16" t="n"/>
      <c r="C5" s="16" t="n">
        <v>0.093</v>
      </c>
      <c r="D5" s="16" t="n">
        <v>0.067</v>
      </c>
      <c r="E5" s="16" t="n">
        <v>0.066</v>
      </c>
      <c r="F5" s="17" t="n">
        <v>0.08</v>
      </c>
      <c r="G5" s="17" t="n">
        <v>0.08</v>
      </c>
      <c r="H5" s="17" t="n">
        <v>0.08</v>
      </c>
      <c r="I5" s="17" t="n">
        <v>0.07000000000000001</v>
      </c>
      <c r="J5" s="17" t="n">
        <v>0.07000000000000001</v>
      </c>
      <c r="K5" s="18" t="inlineStr">
        <is>
          <t>Hist FY23-25 ~6-9%</t>
        </is>
      </c>
    </row>
    <row r="6">
      <c r="A6" s="15" t="inlineStr">
        <is>
          <t>EBITDA margin % (on net revenue)</t>
        </is>
      </c>
      <c r="B6" s="16" t="n"/>
      <c r="C6" s="16" t="n"/>
      <c r="D6" s="16" t="n">
        <v>0.168</v>
      </c>
      <c r="E6" s="16" t="n">
        <v>0.186</v>
      </c>
      <c r="F6" s="17" t="n">
        <v>0.185</v>
      </c>
      <c r="G6" s="17" t="n">
        <v>0.19</v>
      </c>
      <c r="H6" s="17" t="n">
        <v>0.193</v>
      </c>
      <c r="I6" s="17" t="n">
        <v>0.195</v>
      </c>
      <c r="J6" s="17" t="n">
        <v>0.198</v>
      </c>
      <c r="K6" s="18" t="inlineStr">
        <is>
          <t>FY25 actual 18.6%</t>
        </is>
      </c>
    </row>
    <row r="7">
      <c r="A7" s="15" t="inlineStr">
        <is>
          <t>Depreciation &amp; amortisation % of net revenue</t>
        </is>
      </c>
      <c r="B7" s="16" t="n">
        <v>0.031</v>
      </c>
      <c r="C7" s="16" t="n">
        <v>0.027</v>
      </c>
      <c r="D7" s="16" t="n">
        <v>0.024</v>
      </c>
      <c r="E7" s="16" t="n">
        <v>0.023</v>
      </c>
      <c r="F7" s="17" t="n">
        <v>0.023</v>
      </c>
      <c r="G7" s="17" t="n">
        <v>0.023</v>
      </c>
      <c r="H7" s="17" t="n">
        <v>0.023</v>
      </c>
      <c r="I7" s="17" t="n">
        <v>0.023</v>
      </c>
      <c r="J7" s="17" t="n">
        <v>0.023</v>
      </c>
    </row>
    <row r="8">
      <c r="A8" s="15" t="inlineStr">
        <is>
          <t>Effective / cash tax rate %</t>
        </is>
      </c>
      <c r="B8" s="16" t="n"/>
      <c r="C8" s="16" t="n"/>
      <c r="D8" s="16" t="n">
        <v>0.242</v>
      </c>
      <c r="E8" s="16" t="n">
        <v>0.258</v>
      </c>
      <c r="F8" s="17" t="n">
        <v>0.255</v>
      </c>
      <c r="G8" s="17" t="n">
        <v>0.255</v>
      </c>
      <c r="H8" s="17" t="n">
        <v>0.255</v>
      </c>
      <c r="I8" s="17" t="n">
        <v>0.255</v>
      </c>
      <c r="J8" s="17" t="n">
        <v>0.255</v>
      </c>
    </row>
    <row r="9">
      <c r="A9" s="5" t="inlineStr">
        <is>
          <t>Cash-flow drivers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15" t="inlineStr">
        <is>
          <t>Capex % of net revenue</t>
        </is>
      </c>
      <c r="B10" s="16" t="n">
        <v>0.014</v>
      </c>
      <c r="C10" s="16" t="n">
        <v>0.013</v>
      </c>
      <c r="D10" s="16" t="n">
        <v>0.008999999999999999</v>
      </c>
      <c r="E10" s="16" t="n">
        <v>0.013</v>
      </c>
      <c r="F10" s="17" t="n">
        <v>0.016</v>
      </c>
      <c r="G10" s="17" t="n">
        <v>0.016</v>
      </c>
      <c r="H10" s="17" t="n">
        <v>0.017</v>
      </c>
      <c r="I10" s="17" t="n">
        <v>0.017</v>
      </c>
      <c r="J10" s="17" t="n">
        <v>0.018</v>
      </c>
    </row>
    <row r="11">
      <c r="A11" s="15" t="inlineStr">
        <is>
          <t>Incremental net working capital % of revenue growth</t>
        </is>
      </c>
      <c r="B11" s="16" t="n"/>
      <c r="C11" s="16" t="n"/>
      <c r="D11" s="16" t="n"/>
      <c r="E11" s="16" t="n"/>
      <c r="F11" s="17" t="n">
        <v>0.22</v>
      </c>
      <c r="G11" s="17" t="n">
        <v>0.22</v>
      </c>
      <c r="H11" s="17" t="n">
        <v>0.2</v>
      </c>
      <c r="I11" s="17" t="n">
        <v>0.2</v>
      </c>
      <c r="J11" s="17" t="n">
        <v>0.2</v>
      </c>
      <c r="K11" s="18" t="inlineStr">
        <is>
          <t>Hist core NWC ~25-29% of sales</t>
        </is>
      </c>
    </row>
    <row r="12">
      <c r="A12" s="15" t="inlineStr">
        <is>
          <t>Dividend payout % (of prior-year PAT)</t>
        </is>
      </c>
      <c r="B12" s="16" t="n"/>
      <c r="C12" s="16" t="n"/>
      <c r="D12" s="16" t="n"/>
      <c r="E12" s="16" t="n">
        <v>0.45</v>
      </c>
      <c r="F12" s="17" t="n">
        <v>0.6</v>
      </c>
      <c r="G12" s="17" t="n">
        <v>0.65</v>
      </c>
      <c r="H12" s="17" t="n">
        <v>0.65</v>
      </c>
      <c r="I12" s="17" t="n">
        <v>0.7</v>
      </c>
      <c r="J12" s="17" t="n">
        <v>0.7</v>
      </c>
      <c r="K12" s="18" t="inlineStr">
        <is>
          <t>FY25 ~45%, Diageo raising payout</t>
        </is>
      </c>
    </row>
    <row r="13">
      <c r="A13" s="5" t="inlineStr">
        <is>
          <t>Debt &amp; lease drivers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15" t="inlineStr">
        <is>
          <t>New lease additions (Rs cr)</t>
        </is>
      </c>
      <c r="B14" s="19" t="n">
        <v>229.2</v>
      </c>
      <c r="C14" s="19" t="n">
        <v>85.8</v>
      </c>
      <c r="D14" s="19" t="n">
        <v>184</v>
      </c>
      <c r="E14" s="19" t="n">
        <v>394</v>
      </c>
      <c r="F14" s="20" t="n">
        <v>300</v>
      </c>
      <c r="G14" s="20" t="n">
        <v>300</v>
      </c>
      <c r="H14" s="20" t="n">
        <v>320</v>
      </c>
      <c r="I14" s="20" t="n">
        <v>340</v>
      </c>
      <c r="J14" s="20" t="n">
        <v>360</v>
      </c>
      <c r="K14" s="18" t="inlineStr">
        <is>
          <t>RoU additions; FY25 was high</t>
        </is>
      </c>
    </row>
    <row r="15">
      <c r="A15" s="15" t="inlineStr">
        <is>
          <t>Lease principal repayment % of opening lease liability</t>
        </is>
      </c>
      <c r="B15" s="16" t="n"/>
      <c r="C15" s="16" t="n"/>
      <c r="D15" s="16" t="n"/>
      <c r="E15" s="16" t="n"/>
      <c r="F15" s="17" t="n">
        <v>0.4</v>
      </c>
      <c r="G15" s="17" t="n">
        <v>0.4</v>
      </c>
      <c r="H15" s="17" t="n">
        <v>0.4</v>
      </c>
      <c r="I15" s="17" t="n">
        <v>0.4</v>
      </c>
      <c r="J15" s="17" t="n">
        <v>0.4</v>
      </c>
      <c r="K15" s="18" t="inlineStr">
        <is>
          <t>FY25 ~29% of opening</t>
        </is>
      </c>
    </row>
    <row r="16">
      <c r="A16" s="15" t="inlineStr">
        <is>
          <t>Lease interest rate % (on opening lease liability)</t>
        </is>
      </c>
      <c r="B16" s="16" t="n"/>
      <c r="C16" s="16" t="n"/>
      <c r="D16" s="16" t="n">
        <v>0.115</v>
      </c>
      <c r="E16" s="16" t="n">
        <v>0.111</v>
      </c>
      <c r="F16" s="17" t="n">
        <v>0.095</v>
      </c>
      <c r="G16" s="17" t="n">
        <v>0.095</v>
      </c>
      <c r="H16" s="17" t="n">
        <v>0.095</v>
      </c>
      <c r="I16" s="17" t="n">
        <v>0.095</v>
      </c>
      <c r="J16" s="17" t="n">
        <v>0.095</v>
      </c>
      <c r="K16" s="18" t="inlineStr">
        <is>
          <t>Implied FY24-25 ~10-11%</t>
        </is>
      </c>
    </row>
    <row r="17">
      <c r="A17" s="15" t="inlineStr">
        <is>
          <t>Other (non-lease) finance cost (Rs cr)</t>
        </is>
      </c>
      <c r="B17" s="19" t="n">
        <v>37.9</v>
      </c>
      <c r="C17" s="19" t="n">
        <v>67.59999999999999</v>
      </c>
      <c r="D17" s="19" t="n">
        <v>55</v>
      </c>
      <c r="E17" s="19" t="n">
        <v>49</v>
      </c>
      <c r="F17" s="20" t="n">
        <v>50</v>
      </c>
      <c r="G17" s="20" t="n">
        <v>52</v>
      </c>
      <c r="H17" s="20" t="n">
        <v>54</v>
      </c>
      <c r="I17" s="20" t="n">
        <v>56</v>
      </c>
      <c r="J17" s="20" t="n">
        <v>58</v>
      </c>
      <c r="K17" s="18" t="inlineStr">
        <is>
          <t>Unwind of discounts, bank charges</t>
        </is>
      </c>
    </row>
    <row r="18">
      <c r="A18" s="15" t="inlineStr">
        <is>
          <t>New borrowings drawn (Rs cr)</t>
        </is>
      </c>
      <c r="B18" s="19" t="n"/>
      <c r="C18" s="19" t="n"/>
      <c r="D18" s="19" t="n">
        <v>25</v>
      </c>
      <c r="E18" s="19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18" t="inlineStr">
        <is>
          <t>Co. funds from internal cash</t>
        </is>
      </c>
    </row>
    <row r="19">
      <c r="A19" s="15" t="inlineStr">
        <is>
          <t>Borrowings repaid (Rs cr)</t>
        </is>
      </c>
      <c r="B19" s="19" t="n"/>
      <c r="C19" s="19" t="n"/>
      <c r="D19" s="19" t="n"/>
      <c r="E19" s="19" t="n"/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</row>
    <row r="20">
      <c r="A20" s="15" t="inlineStr">
        <is>
          <t>Borrowing interest rate %</t>
        </is>
      </c>
      <c r="B20" s="16" t="n"/>
      <c r="C20" s="16" t="n"/>
      <c r="D20" s="16" t="n"/>
      <c r="E20" s="16" t="n"/>
      <c r="F20" s="17" t="n">
        <v>0.08500000000000001</v>
      </c>
      <c r="G20" s="17" t="n">
        <v>0.08500000000000001</v>
      </c>
      <c r="H20" s="17" t="n">
        <v>0.08500000000000001</v>
      </c>
      <c r="I20" s="17" t="n">
        <v>0.08500000000000001</v>
      </c>
      <c r="J20" s="17" t="n">
        <v>0.08500000000000001</v>
      </c>
      <c r="K20" s="18" t="inlineStr">
        <is>
          <t>WC loan rate</t>
        </is>
      </c>
    </row>
    <row r="21">
      <c r="A21" s="5" t="inlineStr">
        <is>
          <t>Treasury / investment drivers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15" t="inlineStr">
        <is>
          <t>Blended yield on average treasury %</t>
        </is>
      </c>
      <c r="B22" s="16" t="n"/>
      <c r="C22" s="16" t="n"/>
      <c r="D22" s="16" t="n">
        <v>0.064</v>
      </c>
      <c r="E22" s="16" t="n">
        <v>0.063</v>
      </c>
      <c r="F22" s="17" t="n">
        <v>0.065</v>
      </c>
      <c r="G22" s="17" t="n">
        <v>0.065</v>
      </c>
      <c r="H22" s="17" t="n">
        <v>0.065</v>
      </c>
      <c r="I22" s="17" t="n">
        <v>0.065</v>
      </c>
      <c r="J22" s="17" t="n">
        <v>0.065</v>
      </c>
      <c r="K22" s="18" t="inlineStr">
        <is>
          <t>Deposits + debt MF; ex one-off tax-refund interest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</cols>
  <sheetData>
    <row r="1">
      <c r="A1" s="10" t="inlineStr">
        <is>
          <t>USL  |  DEBT SCHEDULE  (borrowings + lease liabilities)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</row>
    <row r="3">
      <c r="A3" s="12" t="inlineStr">
        <is>
          <t>Rs crore (consolidated)</t>
        </is>
      </c>
      <c r="B3" s="13" t="inlineStr">
        <is>
          <t>FY2022A</t>
        </is>
      </c>
      <c r="C3" s="13" t="inlineStr">
        <is>
          <t>FY2023A</t>
        </is>
      </c>
      <c r="D3" s="13" t="inlineStr">
        <is>
          <t>FY2024A</t>
        </is>
      </c>
      <c r="E3" s="13" t="inlineStr">
        <is>
          <t>FY2025A</t>
        </is>
      </c>
      <c r="F3" s="14" t="inlineStr">
        <is>
          <t>FY2026E</t>
        </is>
      </c>
      <c r="G3" s="14" t="inlineStr">
        <is>
          <t>FY2027E</t>
        </is>
      </c>
      <c r="H3" s="14" t="inlineStr">
        <is>
          <t>FY2028E</t>
        </is>
      </c>
      <c r="I3" s="14" t="inlineStr">
        <is>
          <t>FY2029E</t>
        </is>
      </c>
      <c r="J3" s="14" t="inlineStr">
        <is>
          <t>FY2030E</t>
        </is>
      </c>
    </row>
    <row r="4">
      <c r="A4" s="5" t="inlineStr">
        <is>
          <t>A.  External borrowings (working-capital / term loans)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15" t="inlineStr">
        <is>
          <t>Opening borrowings</t>
        </is>
      </c>
      <c r="B5" s="19" t="n">
        <v>879.4</v>
      </c>
      <c r="C5" s="19" t="n">
        <v>341.7</v>
      </c>
      <c r="D5" s="19" t="n">
        <v>1.1</v>
      </c>
      <c r="E5" s="19" t="n">
        <v>25</v>
      </c>
      <c r="F5" s="21">
        <f>E8</f>
        <v/>
      </c>
      <c r="G5" s="21">
        <f>F8</f>
        <v/>
      </c>
      <c r="H5" s="21">
        <f>G8</f>
        <v/>
      </c>
      <c r="I5" s="21">
        <f>H8</f>
        <v/>
      </c>
      <c r="J5" s="21">
        <f>I8</f>
        <v/>
      </c>
    </row>
    <row r="6">
      <c r="A6" s="22" t="inlineStr">
        <is>
          <t>Add: new borrowings drawn</t>
        </is>
      </c>
      <c r="B6" s="19" t="n"/>
      <c r="C6" s="19" t="n"/>
      <c r="D6" s="19" t="n"/>
      <c r="E6" s="19" t="n"/>
      <c r="F6" s="21">
        <f>Assumptions!F18</f>
        <v/>
      </c>
      <c r="G6" s="21">
        <f>Assumptions!G18</f>
        <v/>
      </c>
      <c r="H6" s="21">
        <f>Assumptions!H18</f>
        <v/>
      </c>
      <c r="I6" s="21">
        <f>Assumptions!I18</f>
        <v/>
      </c>
      <c r="J6" s="21">
        <f>Assumptions!J18</f>
        <v/>
      </c>
    </row>
    <row r="7">
      <c r="A7" s="22" t="inlineStr">
        <is>
          <t>Less: repayments</t>
        </is>
      </c>
      <c r="B7" s="19" t="n"/>
      <c r="C7" s="19" t="n"/>
      <c r="D7" s="19" t="n"/>
      <c r="E7" s="19" t="n"/>
      <c r="F7" s="21">
        <f>-Assumptions!F19</f>
        <v/>
      </c>
      <c r="G7" s="21">
        <f>-Assumptions!G19</f>
        <v/>
      </c>
      <c r="H7" s="21">
        <f>-Assumptions!H19</f>
        <v/>
      </c>
      <c r="I7" s="21">
        <f>-Assumptions!I19</f>
        <v/>
      </c>
      <c r="J7" s="21">
        <f>-Assumptions!J19</f>
        <v/>
      </c>
    </row>
    <row r="8">
      <c r="A8" s="23" t="inlineStr">
        <is>
          <t>Closing borrowings</t>
        </is>
      </c>
      <c r="B8" s="24" t="n">
        <v>341.7</v>
      </c>
      <c r="C8" s="24" t="n">
        <v>1.1</v>
      </c>
      <c r="D8" s="24" t="n">
        <v>25</v>
      </c>
      <c r="E8" s="24" t="n">
        <v>0</v>
      </c>
      <c r="F8" s="25">
        <f>F5+F6+F7</f>
        <v/>
      </c>
      <c r="G8" s="25">
        <f>G5+G6+G7</f>
        <v/>
      </c>
      <c r="H8" s="25">
        <f>H5+H6+H7</f>
        <v/>
      </c>
      <c r="I8" s="25">
        <f>I5+I6+I7</f>
        <v/>
      </c>
      <c r="J8" s="25">
        <f>J5+J6+J7</f>
        <v/>
      </c>
    </row>
    <row r="9">
      <c r="A9" s="26" t="inlineStr">
        <is>
          <t>Interest on borrowings</t>
        </is>
      </c>
      <c r="B9" s="19" t="n">
        <v>38.2</v>
      </c>
      <c r="C9" s="19" t="n">
        <v>20.3</v>
      </c>
      <c r="D9" s="19" t="n">
        <v>0</v>
      </c>
      <c r="E9" s="19" t="n">
        <v>0</v>
      </c>
      <c r="F9" s="27">
        <f>F5*Assumptions!F20</f>
        <v/>
      </c>
      <c r="G9" s="27">
        <f>G5*Assumptions!G20</f>
        <v/>
      </c>
      <c r="H9" s="27">
        <f>H5*Assumptions!H20</f>
        <v/>
      </c>
      <c r="I9" s="27">
        <f>I5*Assumptions!I20</f>
        <v/>
      </c>
      <c r="J9" s="27">
        <f>J5*Assumptions!J20</f>
        <v/>
      </c>
    </row>
    <row r="11">
      <c r="A11" s="5" t="inlineStr">
        <is>
          <t>B.  Lease liabilities (Ind AS 116)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15" t="inlineStr">
        <is>
          <t>Opening lease liability</t>
        </is>
      </c>
      <c r="B12" s="19" t="n">
        <v>264.2</v>
      </c>
      <c r="C12" s="19" t="n">
        <v>263.7</v>
      </c>
      <c r="D12" s="19" t="n">
        <v>182.2</v>
      </c>
      <c r="E12" s="19" t="n">
        <v>240</v>
      </c>
      <c r="F12" s="21">
        <f>E16</f>
        <v/>
      </c>
      <c r="G12" s="21">
        <f>F16</f>
        <v/>
      </c>
      <c r="H12" s="21">
        <f>G16</f>
        <v/>
      </c>
      <c r="I12" s="21">
        <f>H16</f>
        <v/>
      </c>
      <c r="J12" s="21">
        <f>I16</f>
        <v/>
      </c>
    </row>
    <row r="13">
      <c r="A13" s="22" t="inlineStr">
        <is>
          <t>Add: new lease additions</t>
        </is>
      </c>
      <c r="B13" s="19" t="n">
        <v>229.2</v>
      </c>
      <c r="C13" s="19" t="n">
        <v>85.8</v>
      </c>
      <c r="D13" s="19" t="n">
        <v>184</v>
      </c>
      <c r="E13" s="19" t="n">
        <v>394</v>
      </c>
      <c r="F13" s="21">
        <f>Assumptions!F14</f>
        <v/>
      </c>
      <c r="G13" s="21">
        <f>Assumptions!G14</f>
        <v/>
      </c>
      <c r="H13" s="21">
        <f>Assumptions!H14</f>
        <v/>
      </c>
      <c r="I13" s="21">
        <f>Assumptions!I14</f>
        <v/>
      </c>
      <c r="J13" s="21">
        <f>Assumptions!J14</f>
        <v/>
      </c>
    </row>
    <row r="14">
      <c r="A14" s="22" t="inlineStr">
        <is>
          <t>Add: interest accrued (finance cost)</t>
        </is>
      </c>
      <c r="B14" s="19">
        <f>B18</f>
        <v/>
      </c>
      <c r="C14" s="19">
        <f>C18</f>
        <v/>
      </c>
      <c r="D14" s="19">
        <f>D18</f>
        <v/>
      </c>
      <c r="E14" s="19">
        <f>E18</f>
        <v/>
      </c>
      <c r="F14" s="21">
        <f>F12*Assumptions!F16</f>
        <v/>
      </c>
      <c r="G14" s="21">
        <f>G12*Assumptions!G16</f>
        <v/>
      </c>
      <c r="H14" s="21">
        <f>H12*Assumptions!H16</f>
        <v/>
      </c>
      <c r="I14" s="21">
        <f>I12*Assumptions!I16</f>
        <v/>
      </c>
      <c r="J14" s="21">
        <f>J12*Assumptions!J16</f>
        <v/>
      </c>
    </row>
    <row r="15">
      <c r="A15" s="22" t="inlineStr">
        <is>
          <t>Less: lease payments (principal + interest)</t>
        </is>
      </c>
      <c r="B15" s="19">
        <f>B17+B18</f>
        <v/>
      </c>
      <c r="C15" s="19">
        <f>C17+C18</f>
        <v/>
      </c>
      <c r="D15" s="19">
        <f>D17+D18</f>
        <v/>
      </c>
      <c r="E15" s="19">
        <f>E17+E18</f>
        <v/>
      </c>
      <c r="F15" s="21">
        <f>-(F17+F18)</f>
        <v/>
      </c>
      <c r="G15" s="21">
        <f>-(G17+G18)</f>
        <v/>
      </c>
      <c r="H15" s="21">
        <f>-(H17+H18)</f>
        <v/>
      </c>
      <c r="I15" s="21">
        <f>-(I17+I18)</f>
        <v/>
      </c>
      <c r="J15" s="21">
        <f>-(J17+J18)</f>
        <v/>
      </c>
    </row>
    <row r="16">
      <c r="A16" s="23" t="inlineStr">
        <is>
          <t>Closing lease liability</t>
        </is>
      </c>
      <c r="B16" s="24" t="n">
        <v>263.7</v>
      </c>
      <c r="C16" s="24" t="n">
        <v>182.2</v>
      </c>
      <c r="D16" s="24" t="n">
        <v>240</v>
      </c>
      <c r="E16" s="24" t="n">
        <v>480</v>
      </c>
      <c r="F16" s="25">
        <f>F12+F13+F14+F15</f>
        <v/>
      </c>
      <c r="G16" s="25">
        <f>G12+G13+G14+G15</f>
        <v/>
      </c>
      <c r="H16" s="25">
        <f>H12+H13+H14+H15</f>
        <v/>
      </c>
      <c r="I16" s="25">
        <f>I12+I13+I14+I15</f>
        <v/>
      </c>
      <c r="J16" s="25">
        <f>J12+J13+J14+J15</f>
        <v/>
      </c>
    </row>
    <row r="17">
      <c r="A17" s="28" t="inlineStr">
        <is>
          <t xml:space="preserve">  memo: principal repayment</t>
        </is>
      </c>
      <c r="B17" s="19" t="n">
        <v>100.2</v>
      </c>
      <c r="C17" s="19" t="n">
        <v>124</v>
      </c>
      <c r="D17" s="19" t="n">
        <v>126</v>
      </c>
      <c r="E17" s="19" t="n">
        <v>137</v>
      </c>
      <c r="F17" s="27">
        <f>F12*Assumptions!F15</f>
        <v/>
      </c>
      <c r="G17" s="27">
        <f>G12*Assumptions!G15</f>
        <v/>
      </c>
      <c r="H17" s="27">
        <f>H12*Assumptions!H15</f>
        <v/>
      </c>
      <c r="I17" s="27">
        <f>I12*Assumptions!I15</f>
        <v/>
      </c>
      <c r="J17" s="27">
        <f>J12*Assumptions!J15</f>
        <v/>
      </c>
    </row>
    <row r="18">
      <c r="A18" s="28" t="inlineStr">
        <is>
          <t xml:space="preserve">  memo: lease interest expense</t>
        </is>
      </c>
      <c r="B18" s="19" t="n">
        <v>11.9</v>
      </c>
      <c r="C18" s="19" t="n">
        <v>16</v>
      </c>
      <c r="D18" s="19" t="n">
        <v>21</v>
      </c>
      <c r="E18" s="19" t="n">
        <v>40</v>
      </c>
      <c r="F18" s="27">
        <f>F14</f>
        <v/>
      </c>
      <c r="G18" s="27">
        <f>G14</f>
        <v/>
      </c>
      <c r="H18" s="27">
        <f>H14</f>
        <v/>
      </c>
      <c r="I18" s="27">
        <f>I14</f>
        <v/>
      </c>
      <c r="J18" s="27">
        <f>J14</f>
        <v/>
      </c>
    </row>
    <row r="20">
      <c r="A20" s="5" t="inlineStr">
        <is>
          <t>C.  Total debt &amp; finance cost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23" t="inlineStr">
        <is>
          <t>Total debt (borrowings + leases), closing</t>
        </is>
      </c>
      <c r="B21" s="29">
        <f>B8+B16</f>
        <v/>
      </c>
      <c r="C21" s="29">
        <f>C8+C16</f>
        <v/>
      </c>
      <c r="D21" s="29">
        <f>D8+D16</f>
        <v/>
      </c>
      <c r="E21" s="29">
        <f>E8+E16</f>
        <v/>
      </c>
      <c r="F21" s="29">
        <f>F8+F16</f>
        <v/>
      </c>
      <c r="G21" s="29">
        <f>G8+G16</f>
        <v/>
      </c>
      <c r="H21" s="29">
        <f>H8+H16</f>
        <v/>
      </c>
      <c r="I21" s="29">
        <f>I8+I16</f>
        <v/>
      </c>
      <c r="J21" s="29">
        <f>J8+J16</f>
        <v/>
      </c>
    </row>
    <row r="22">
      <c r="A22" s="22" t="inlineStr">
        <is>
          <t>Finance cost: borrowing interest</t>
        </is>
      </c>
      <c r="B22" s="19">
        <f>B9</f>
        <v/>
      </c>
      <c r="C22" s="19">
        <f>C9</f>
        <v/>
      </c>
      <c r="D22" s="19">
        <f>D9</f>
        <v/>
      </c>
      <c r="E22" s="19">
        <f>E9</f>
        <v/>
      </c>
      <c r="F22" s="21">
        <f>F9</f>
        <v/>
      </c>
      <c r="G22" s="21">
        <f>G9</f>
        <v/>
      </c>
      <c r="H22" s="21">
        <f>H9</f>
        <v/>
      </c>
      <c r="I22" s="21">
        <f>I9</f>
        <v/>
      </c>
      <c r="J22" s="21">
        <f>J9</f>
        <v/>
      </c>
    </row>
    <row r="23">
      <c r="A23" s="22" t="inlineStr">
        <is>
          <t>Finance cost: lease interest</t>
        </is>
      </c>
      <c r="B23" s="19">
        <f>B18</f>
        <v/>
      </c>
      <c r="C23" s="19">
        <f>C18</f>
        <v/>
      </c>
      <c r="D23" s="19">
        <f>D18</f>
        <v/>
      </c>
      <c r="E23" s="19">
        <f>E18</f>
        <v/>
      </c>
      <c r="F23" s="21">
        <f>F18</f>
        <v/>
      </c>
      <c r="G23" s="21">
        <f>G18</f>
        <v/>
      </c>
      <c r="H23" s="21">
        <f>H18</f>
        <v/>
      </c>
      <c r="I23" s="21">
        <f>I18</f>
        <v/>
      </c>
      <c r="J23" s="21">
        <f>J18</f>
        <v/>
      </c>
    </row>
    <row r="24">
      <c r="A24" s="22" t="inlineStr">
        <is>
          <t>Finance cost: other (unwind/charges)</t>
        </is>
      </c>
      <c r="B24" s="19" t="n">
        <v>37.9</v>
      </c>
      <c r="C24" s="19" t="n">
        <v>67.59999999999999</v>
      </c>
      <c r="D24" s="19" t="n">
        <v>55</v>
      </c>
      <c r="E24" s="19" t="n">
        <v>49</v>
      </c>
      <c r="F24" s="21">
        <f>Assumptions!F17</f>
        <v/>
      </c>
      <c r="G24" s="21">
        <f>Assumptions!G17</f>
        <v/>
      </c>
      <c r="H24" s="21">
        <f>Assumptions!H17</f>
        <v/>
      </c>
      <c r="I24" s="21">
        <f>Assumptions!I17</f>
        <v/>
      </c>
      <c r="J24" s="21">
        <f>Assumptions!J17</f>
        <v/>
      </c>
    </row>
    <row r="25">
      <c r="A25" s="23" t="inlineStr">
        <is>
          <t>TOTAL FINANCE COST (P&amp;L)</t>
        </is>
      </c>
      <c r="B25" s="24" t="n">
        <v>88</v>
      </c>
      <c r="C25" s="24" t="n">
        <v>103.9</v>
      </c>
      <c r="D25" s="24" t="n">
        <v>76</v>
      </c>
      <c r="E25" s="24" t="n">
        <v>89</v>
      </c>
      <c r="F25" s="30">
        <f>F22+F23+F24</f>
        <v/>
      </c>
      <c r="G25" s="30">
        <f>G22+G23+G24</f>
        <v/>
      </c>
      <c r="H25" s="30">
        <f>H22+H23+H24</f>
        <v/>
      </c>
      <c r="I25" s="30">
        <f>I22+I23+I24</f>
        <v/>
      </c>
      <c r="J25" s="30">
        <f>J22+J23+J24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</cols>
  <sheetData>
    <row r="1">
      <c r="A1" s="10" t="inlineStr">
        <is>
          <t>USL  |  CASH / TREASURY SCHEDULE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</row>
    <row r="3">
      <c r="A3" s="12" t="inlineStr">
        <is>
          <t>Rs crore (consolidated)</t>
        </is>
      </c>
      <c r="B3" s="13" t="inlineStr">
        <is>
          <t>FY2022A</t>
        </is>
      </c>
      <c r="C3" s="13" t="inlineStr">
        <is>
          <t>FY2023A</t>
        </is>
      </c>
      <c r="D3" s="13" t="inlineStr">
        <is>
          <t>FY2024A</t>
        </is>
      </c>
      <c r="E3" s="13" t="inlineStr">
        <is>
          <t>FY2025A</t>
        </is>
      </c>
      <c r="F3" s="14" t="inlineStr">
        <is>
          <t>FY2026E</t>
        </is>
      </c>
      <c r="G3" s="14" t="inlineStr">
        <is>
          <t>FY2027E</t>
        </is>
      </c>
      <c r="H3" s="14" t="inlineStr">
        <is>
          <t>FY2028E</t>
        </is>
      </c>
      <c r="I3" s="14" t="inlineStr">
        <is>
          <t>FY2029E</t>
        </is>
      </c>
      <c r="J3" s="14" t="inlineStr">
        <is>
          <t>FY2030E</t>
        </is>
      </c>
    </row>
    <row r="4">
      <c r="A4" s="5" t="inlineStr">
        <is>
          <t>A.  Treasury composition (closing, Rs cr)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15" t="inlineStr">
        <is>
          <t>Cash &amp; cash equivalents</t>
        </is>
      </c>
      <c r="B5" s="19" t="n">
        <v>54.5</v>
      </c>
      <c r="C5" s="19" t="n">
        <v>115.1</v>
      </c>
      <c r="D5" s="19" t="n">
        <v>1052</v>
      </c>
      <c r="E5" s="19" t="n">
        <v>1328</v>
      </c>
      <c r="F5" s="21">
        <f>F19*0.46</f>
        <v/>
      </c>
      <c r="G5" s="21">
        <f>G19*0.46</f>
        <v/>
      </c>
      <c r="H5" s="21">
        <f>H19*0.46</f>
        <v/>
      </c>
      <c r="I5" s="21">
        <f>I19*0.46</f>
        <v/>
      </c>
      <c r="J5" s="21">
        <f>J19*0.46</f>
        <v/>
      </c>
    </row>
    <row r="6">
      <c r="A6" s="15" t="inlineStr">
        <is>
          <t>Bank balances (other deposits)</t>
        </is>
      </c>
      <c r="B6" s="19" t="n">
        <v>5.8</v>
      </c>
      <c r="C6" s="19" t="n">
        <v>768.2</v>
      </c>
      <c r="D6" s="19" t="n">
        <v>217</v>
      </c>
      <c r="E6" s="19" t="n">
        <v>702</v>
      </c>
      <c r="F6" s="21">
        <f>F19*0.24</f>
        <v/>
      </c>
      <c r="G6" s="21">
        <f>G19*0.24</f>
        <v/>
      </c>
      <c r="H6" s="21">
        <f>H19*0.24</f>
        <v/>
      </c>
      <c r="I6" s="21">
        <f>I19*0.24</f>
        <v/>
      </c>
      <c r="J6" s="21">
        <f>J19*0.24</f>
        <v/>
      </c>
    </row>
    <row r="7">
      <c r="A7" s="15" t="inlineStr">
        <is>
          <t>Current investments (debt mutual funds etc.)</t>
        </is>
      </c>
      <c r="B7" s="19" t="n">
        <v>222.1</v>
      </c>
      <c r="C7" s="19" t="n">
        <v>255.8</v>
      </c>
      <c r="D7" s="19" t="n">
        <v>599</v>
      </c>
      <c r="E7" s="19" t="n">
        <v>873</v>
      </c>
      <c r="F7" s="21">
        <f>F19-F5-F6</f>
        <v/>
      </c>
      <c r="G7" s="21">
        <f>G19-G5-G6</f>
        <v/>
      </c>
      <c r="H7" s="21">
        <f>H19-H5-H6</f>
        <v/>
      </c>
      <c r="I7" s="21">
        <f>I19-I5-I6</f>
        <v/>
      </c>
      <c r="J7" s="21">
        <f>J19-J5-J6</f>
        <v/>
      </c>
    </row>
    <row r="8">
      <c r="A8" s="23" t="inlineStr">
        <is>
          <t>Total treasury (cash + deposits + investments)</t>
        </is>
      </c>
      <c r="B8" s="29">
        <f>B5+B6+B7</f>
        <v/>
      </c>
      <c r="C8" s="29">
        <f>C5+C6+C7</f>
        <v/>
      </c>
      <c r="D8" s="29">
        <f>D5+D6+D7</f>
        <v/>
      </c>
      <c r="E8" s="29">
        <f>E5+E6+E7</f>
        <v/>
      </c>
      <c r="F8" s="29">
        <f>F5+F6+F7</f>
        <v/>
      </c>
      <c r="G8" s="29">
        <f>G5+G6+G7</f>
        <v/>
      </c>
      <c r="H8" s="29">
        <f>H5+H6+H7</f>
        <v/>
      </c>
      <c r="I8" s="29">
        <f>I5+I6+I7</f>
        <v/>
      </c>
      <c r="J8" s="29">
        <f>J5+J6+J7</f>
        <v/>
      </c>
    </row>
    <row r="10">
      <c r="A10" s="5" t="inlineStr">
        <is>
          <t>B.  Treasury roll-forward (cash build, FCFE basis)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15" t="inlineStr">
        <is>
          <t>Opening treasury</t>
        </is>
      </c>
      <c r="B11" s="19" t="n">
        <v>300</v>
      </c>
      <c r="C11" s="19" t="n">
        <v>282.4</v>
      </c>
      <c r="D11" s="19" t="n">
        <v>1139.1</v>
      </c>
      <c r="E11" s="19" t="n">
        <v>1868</v>
      </c>
      <c r="F11" s="21">
        <f>E19</f>
        <v/>
      </c>
      <c r="G11" s="21">
        <f>F19</f>
        <v/>
      </c>
      <c r="H11" s="21">
        <f>G19</f>
        <v/>
      </c>
      <c r="I11" s="21">
        <f>H19</f>
        <v/>
      </c>
      <c r="J11" s="21">
        <f>I19</f>
        <v/>
      </c>
    </row>
    <row r="12">
      <c r="A12" s="22" t="inlineStr">
        <is>
          <t>Add: Profit after tax (from P&amp;L sheet)</t>
        </is>
      </c>
      <c r="B12" s="19" t="n">
        <v>810.6</v>
      </c>
      <c r="C12" s="19" t="n">
        <v>1125.8</v>
      </c>
      <c r="D12" s="19" t="n">
        <v>1408</v>
      </c>
      <c r="E12" s="19" t="n">
        <v>1582</v>
      </c>
      <c r="F12" s="21">
        <f>'P&amp;L &amp; Net Interest'!F13</f>
        <v/>
      </c>
      <c r="G12" s="21">
        <f>'P&amp;L &amp; Net Interest'!G13</f>
        <v/>
      </c>
      <c r="H12" s="21">
        <f>'P&amp;L &amp; Net Interest'!H13</f>
        <v/>
      </c>
      <c r="I12" s="21">
        <f>'P&amp;L &amp; Net Interest'!I13</f>
        <v/>
      </c>
      <c r="J12" s="21">
        <f>'P&amp;L &amp; Net Interest'!J13</f>
        <v/>
      </c>
    </row>
    <row r="13">
      <c r="A13" s="22" t="inlineStr">
        <is>
          <t>Add: Depreciation &amp; amortisation (non-cash)</t>
        </is>
      </c>
      <c r="B13" s="19" t="n">
        <v>303.8</v>
      </c>
      <c r="C13" s="19" t="n">
        <v>282.5</v>
      </c>
      <c r="D13" s="19" t="n">
        <v>275</v>
      </c>
      <c r="E13" s="19" t="n">
        <v>283</v>
      </c>
      <c r="F13" s="21">
        <f>-'P&amp;L &amp; Net Interest'!F7</f>
        <v/>
      </c>
      <c r="G13" s="21">
        <f>-'P&amp;L &amp; Net Interest'!G7</f>
        <v/>
      </c>
      <c r="H13" s="21">
        <f>-'P&amp;L &amp; Net Interest'!H7</f>
        <v/>
      </c>
      <c r="I13" s="21">
        <f>-'P&amp;L &amp; Net Interest'!I7</f>
        <v/>
      </c>
      <c r="J13" s="21">
        <f>-'P&amp;L &amp; Net Interest'!J7</f>
        <v/>
      </c>
    </row>
    <row r="14">
      <c r="A14" s="22" t="inlineStr">
        <is>
          <t>Less: increase in net working capital</t>
        </is>
      </c>
      <c r="B14" s="19">
        <f>B19-B11-B12-B13-B15-B16-B17</f>
        <v/>
      </c>
      <c r="C14" s="19">
        <f>C19-C11-C12-C13-C15-C16-C17</f>
        <v/>
      </c>
      <c r="D14" s="19">
        <f>D19-D11-D12-D13-D15-D16-D17</f>
        <v/>
      </c>
      <c r="E14" s="19">
        <f>E19-E11-E12-E13-E15-E16-E17</f>
        <v/>
      </c>
      <c r="F14" s="21">
        <f>-'P&amp;L &amp; Net Interest'!F17</f>
        <v/>
      </c>
      <c r="G14" s="21">
        <f>-'P&amp;L &amp; Net Interest'!G17</f>
        <v/>
      </c>
      <c r="H14" s="21">
        <f>-'P&amp;L &amp; Net Interest'!H17</f>
        <v/>
      </c>
      <c r="I14" s="21">
        <f>-'P&amp;L &amp; Net Interest'!I17</f>
        <v/>
      </c>
      <c r="J14" s="21">
        <f>-'P&amp;L &amp; Net Interest'!J17</f>
        <v/>
      </c>
    </row>
    <row r="15">
      <c r="A15" s="22" t="inlineStr">
        <is>
          <t>Less: capital expenditure</t>
        </is>
      </c>
      <c r="B15" s="19" t="n">
        <v>-134</v>
      </c>
      <c r="C15" s="19" t="n">
        <v>-136.6</v>
      </c>
      <c r="D15" s="19" t="n">
        <v>-98</v>
      </c>
      <c r="E15" s="19" t="n">
        <v>-162</v>
      </c>
      <c r="F15" s="21">
        <f>-'P&amp;L &amp; Net Interest'!F16</f>
        <v/>
      </c>
      <c r="G15" s="21">
        <f>-'P&amp;L &amp; Net Interest'!G16</f>
        <v/>
      </c>
      <c r="H15" s="21">
        <f>-'P&amp;L &amp; Net Interest'!H16</f>
        <v/>
      </c>
      <c r="I15" s="21">
        <f>-'P&amp;L &amp; Net Interest'!I16</f>
        <v/>
      </c>
      <c r="J15" s="21">
        <f>-'P&amp;L &amp; Net Interest'!J16</f>
        <v/>
      </c>
    </row>
    <row r="16">
      <c r="A16" s="22" t="inlineStr">
        <is>
          <t>Less: lease principal repayment</t>
        </is>
      </c>
      <c r="B16" s="19">
        <f>-'Debt Schedule'!B17</f>
        <v/>
      </c>
      <c r="C16" s="19">
        <f>-'Debt Schedule'!C17</f>
        <v/>
      </c>
      <c r="D16" s="19">
        <f>-'Debt Schedule'!D17</f>
        <v/>
      </c>
      <c r="E16" s="19">
        <f>-'Debt Schedule'!E17</f>
        <v/>
      </c>
      <c r="F16" s="21">
        <f>-'Debt Schedule'!F17</f>
        <v/>
      </c>
      <c r="G16" s="21">
        <f>-'Debt Schedule'!G17</f>
        <v/>
      </c>
      <c r="H16" s="21">
        <f>-'Debt Schedule'!H17</f>
        <v/>
      </c>
      <c r="I16" s="21">
        <f>-'Debt Schedule'!I17</f>
        <v/>
      </c>
      <c r="J16" s="21">
        <f>-'Debt Schedule'!J17</f>
        <v/>
      </c>
    </row>
    <row r="17">
      <c r="A17" s="22" t="inlineStr">
        <is>
          <t>Less: dividends paid</t>
        </is>
      </c>
      <c r="B17" s="19" t="n">
        <v>-0</v>
      </c>
      <c r="C17" s="19" t="n">
        <v>-0</v>
      </c>
      <c r="D17" s="19" t="n">
        <v>-284</v>
      </c>
      <c r="E17" s="19" t="n">
        <v>-355</v>
      </c>
      <c r="F17" s="21">
        <f>-'P&amp;L &amp; Net Interest'!F18</f>
        <v/>
      </c>
      <c r="G17" s="21">
        <f>-'P&amp;L &amp; Net Interest'!G18</f>
        <v/>
      </c>
      <c r="H17" s="21">
        <f>-'P&amp;L &amp; Net Interest'!H18</f>
        <v/>
      </c>
      <c r="I17" s="21">
        <f>-'P&amp;L &amp; Net Interest'!I18</f>
        <v/>
      </c>
      <c r="J17" s="21">
        <f>-'P&amp;L &amp; Net Interest'!J18</f>
        <v/>
      </c>
    </row>
    <row r="18">
      <c r="A18" s="23" t="inlineStr">
        <is>
          <t>Net change in treasury</t>
        </is>
      </c>
      <c r="B18" s="24">
        <f>B19-B11</f>
        <v/>
      </c>
      <c r="C18" s="24">
        <f>C19-C11</f>
        <v/>
      </c>
      <c r="D18" s="24">
        <f>D19-D11</f>
        <v/>
      </c>
      <c r="E18" s="24">
        <f>E19-E11</f>
        <v/>
      </c>
      <c r="F18" s="25">
        <f>F12+F13+F14+F15+F16+F17</f>
        <v/>
      </c>
      <c r="G18" s="25">
        <f>G12+G13+G14+G15+G16+G17</f>
        <v/>
      </c>
      <c r="H18" s="25">
        <f>H12+H13+H14+H15+H16+H17</f>
        <v/>
      </c>
      <c r="I18" s="25">
        <f>I12+I13+I14+I15+I16+I17</f>
        <v/>
      </c>
      <c r="J18" s="25">
        <f>J12+J13+J14+J15+J16+J17</f>
        <v/>
      </c>
    </row>
    <row r="19">
      <c r="A19" s="23" t="inlineStr">
        <is>
          <t>Closing treasury</t>
        </is>
      </c>
      <c r="B19" s="29">
        <f>B8</f>
        <v/>
      </c>
      <c r="C19" s="29">
        <f>C8</f>
        <v/>
      </c>
      <c r="D19" s="29">
        <f>D8</f>
        <v/>
      </c>
      <c r="E19" s="29">
        <f>E8</f>
        <v/>
      </c>
      <c r="F19" s="31">
        <f>F11+F18</f>
        <v/>
      </c>
      <c r="G19" s="31">
        <f>G11+G18</f>
        <v/>
      </c>
      <c r="H19" s="31">
        <f>H11+H18</f>
        <v/>
      </c>
      <c r="I19" s="31">
        <f>I11+I18</f>
        <v/>
      </c>
      <c r="J19" s="31">
        <f>J11+J18</f>
        <v/>
      </c>
    </row>
    <row r="21">
      <c r="A21" s="5" t="inlineStr">
        <is>
          <t>C.  Investment / interest income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26" t="inlineStr">
        <is>
          <t>Average treasury (opening + closing)/2</t>
        </is>
      </c>
      <c r="B22" s="32">
        <f>(B11+B19)/2</f>
        <v/>
      </c>
      <c r="C22" s="32">
        <f>(C11+C19)/2</f>
        <v/>
      </c>
      <c r="D22" s="32">
        <f>(D11+D19)/2</f>
        <v/>
      </c>
      <c r="E22" s="32">
        <f>(E11+E19)/2</f>
        <v/>
      </c>
      <c r="F22" s="27">
        <f>(F11+F19)/2</f>
        <v/>
      </c>
      <c r="G22" s="27">
        <f>(G11+G19)/2</f>
        <v/>
      </c>
      <c r="H22" s="27">
        <f>(H11+H19)/2</f>
        <v/>
      </c>
      <c r="I22" s="27">
        <f>(I11+I19)/2</f>
        <v/>
      </c>
      <c r="J22" s="27">
        <f>(J11+J19)/2</f>
        <v/>
      </c>
    </row>
    <row r="23">
      <c r="A23" s="23" t="inlineStr">
        <is>
          <t>Investment &amp; interest income (yield x opening treasury)</t>
        </is>
      </c>
      <c r="B23" s="24" t="n">
        <v>6.1</v>
      </c>
      <c r="C23" s="24" t="n">
        <v>32</v>
      </c>
      <c r="D23" s="24" t="n">
        <v>107</v>
      </c>
      <c r="E23" s="24" t="n">
        <v>150</v>
      </c>
      <c r="F23" s="30">
        <f>F11*Assumptions!F22</f>
        <v/>
      </c>
      <c r="G23" s="30">
        <f>G11*Assumptions!G22</f>
        <v/>
      </c>
      <c r="H23" s="30">
        <f>H11*Assumptions!H22</f>
        <v/>
      </c>
      <c r="I23" s="30">
        <f>I11*Assumptions!I22</f>
        <v/>
      </c>
      <c r="J23" s="30">
        <f>J11*Assumptions!J22</f>
        <v/>
      </c>
    </row>
    <row r="24">
      <c r="A24" s="28" t="inlineStr">
        <is>
          <t xml:space="preserve">  memo: dividend payout this year</t>
        </is>
      </c>
      <c r="B24" s="32">
        <f>-B17</f>
        <v/>
      </c>
      <c r="C24" s="32">
        <f>-C17</f>
        <v/>
      </c>
      <c r="D24" s="32">
        <f>-D17</f>
        <v/>
      </c>
      <c r="E24" s="32">
        <f>-E17</f>
        <v/>
      </c>
      <c r="F24" s="27">
        <f>-F17</f>
        <v/>
      </c>
      <c r="G24" s="27">
        <f>-G17</f>
        <v/>
      </c>
      <c r="H24" s="27">
        <f>-H17</f>
        <v/>
      </c>
      <c r="I24" s="27">
        <f>-I17</f>
        <v/>
      </c>
      <c r="J24" s="27">
        <f>-J17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</cols>
  <sheetData>
    <row r="1">
      <c r="A1" s="10" t="inlineStr">
        <is>
          <t>USL  |  CONDENSED P&amp;L  &amp;  NET INTEREST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</row>
    <row r="3">
      <c r="A3" s="12" t="inlineStr">
        <is>
          <t>Rs crore (consolidated)</t>
        </is>
      </c>
      <c r="B3" s="13" t="inlineStr">
        <is>
          <t>FY2022A</t>
        </is>
      </c>
      <c r="C3" s="13" t="inlineStr">
        <is>
          <t>FY2023A</t>
        </is>
      </c>
      <c r="D3" s="13" t="inlineStr">
        <is>
          <t>FY2024A</t>
        </is>
      </c>
      <c r="E3" s="13" t="inlineStr">
        <is>
          <t>FY2025A</t>
        </is>
      </c>
      <c r="F3" s="14" t="inlineStr">
        <is>
          <t>FY2026E</t>
        </is>
      </c>
      <c r="G3" s="14" t="inlineStr">
        <is>
          <t>FY2027E</t>
        </is>
      </c>
      <c r="H3" s="14" t="inlineStr">
        <is>
          <t>FY2028E</t>
        </is>
      </c>
      <c r="I3" s="14" t="inlineStr">
        <is>
          <t>FY2029E</t>
        </is>
      </c>
      <c r="J3" s="14" t="inlineStr">
        <is>
          <t>FY2030E</t>
        </is>
      </c>
    </row>
    <row r="4">
      <c r="A4" s="5" t="inlineStr">
        <is>
          <t>A.  Condensed P&amp;L (drives the schedules)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23" t="inlineStr">
        <is>
          <t>Net revenue (revenue less excise duty)</t>
        </is>
      </c>
      <c r="B5" s="24" t="n">
        <v>9712.4</v>
      </c>
      <c r="C5" s="24" t="n">
        <v>10611.6</v>
      </c>
      <c r="D5" s="24" t="n">
        <v>11321</v>
      </c>
      <c r="E5" s="24" t="n">
        <v>12069</v>
      </c>
      <c r="F5" s="25">
        <f>E5*(1+Assumptions!F5)</f>
        <v/>
      </c>
      <c r="G5" s="25">
        <f>F5*(1+Assumptions!G5)</f>
        <v/>
      </c>
      <c r="H5" s="25">
        <f>G5*(1+Assumptions!H5)</f>
        <v/>
      </c>
      <c r="I5" s="25">
        <f>H5*(1+Assumptions!I5)</f>
        <v/>
      </c>
      <c r="J5" s="25">
        <f>I5*(1+Assumptions!J5)</f>
        <v/>
      </c>
    </row>
    <row r="6">
      <c r="A6" s="15" t="inlineStr">
        <is>
          <t>EBITDA</t>
        </is>
      </c>
      <c r="B6" s="19" t="n">
        <v>1608</v>
      </c>
      <c r="C6" s="19" t="n">
        <v>1416.6</v>
      </c>
      <c r="D6" s="19" t="n">
        <v>1898</v>
      </c>
      <c r="E6" s="19" t="n">
        <v>2243</v>
      </c>
      <c r="F6" s="21">
        <f>F5*Assumptions!F6</f>
        <v/>
      </c>
      <c r="G6" s="21">
        <f>G5*Assumptions!G6</f>
        <v/>
      </c>
      <c r="H6" s="21">
        <f>H5*Assumptions!H6</f>
        <v/>
      </c>
      <c r="I6" s="21">
        <f>I5*Assumptions!I6</f>
        <v/>
      </c>
      <c r="J6" s="21">
        <f>J5*Assumptions!J6</f>
        <v/>
      </c>
    </row>
    <row r="7">
      <c r="A7" s="22" t="inlineStr">
        <is>
          <t>Less: Depreciation &amp; amortisation</t>
        </is>
      </c>
      <c r="B7" s="19" t="n">
        <v>-303.8</v>
      </c>
      <c r="C7" s="19" t="n">
        <v>-282.5</v>
      </c>
      <c r="D7" s="19" t="n">
        <v>-275</v>
      </c>
      <c r="E7" s="19" t="n">
        <v>-283</v>
      </c>
      <c r="F7" s="21">
        <f>-F5*Assumptions!F7</f>
        <v/>
      </c>
      <c r="G7" s="21">
        <f>-G5*Assumptions!G7</f>
        <v/>
      </c>
      <c r="H7" s="21">
        <f>-H5*Assumptions!H7</f>
        <v/>
      </c>
      <c r="I7" s="21">
        <f>-I5*Assumptions!I7</f>
        <v/>
      </c>
      <c r="J7" s="21">
        <f>-J5*Assumptions!J7</f>
        <v/>
      </c>
    </row>
    <row r="8">
      <c r="A8" s="23" t="inlineStr">
        <is>
          <t>EBIT</t>
        </is>
      </c>
      <c r="B8" s="24">
        <f>B6+B7</f>
        <v/>
      </c>
      <c r="C8" s="24">
        <f>C6+C7</f>
        <v/>
      </c>
      <c r="D8" s="24">
        <f>D6+D7</f>
        <v/>
      </c>
      <c r="E8" s="24">
        <f>E6+E7</f>
        <v/>
      </c>
      <c r="F8" s="25">
        <f>F6+F7</f>
        <v/>
      </c>
      <c r="G8" s="25">
        <f>G6+G7</f>
        <v/>
      </c>
      <c r="H8" s="25">
        <f>H6+H7</f>
        <v/>
      </c>
      <c r="I8" s="25">
        <f>I6+I7</f>
        <v/>
      </c>
      <c r="J8" s="25">
        <f>J6+J7</f>
        <v/>
      </c>
    </row>
    <row r="9">
      <c r="A9" s="22" t="inlineStr">
        <is>
          <t>Less: Finance cost (Debt Schedule)</t>
        </is>
      </c>
      <c r="B9" s="19" t="n">
        <v>-88</v>
      </c>
      <c r="C9" s="19" t="n">
        <v>-103.9</v>
      </c>
      <c r="D9" s="19" t="n">
        <v>-76</v>
      </c>
      <c r="E9" s="19" t="n">
        <v>-89</v>
      </c>
      <c r="F9" s="21">
        <f>-'Debt Schedule'!F25</f>
        <v/>
      </c>
      <c r="G9" s="21">
        <f>-'Debt Schedule'!G25</f>
        <v/>
      </c>
      <c r="H9" s="21">
        <f>-'Debt Schedule'!H25</f>
        <v/>
      </c>
      <c r="I9" s="21">
        <f>-'Debt Schedule'!I25</f>
        <v/>
      </c>
      <c r="J9" s="21">
        <f>-'Debt Schedule'!J25</f>
        <v/>
      </c>
    </row>
    <row r="10">
      <c r="A10" s="22" t="inlineStr">
        <is>
          <t>Add: Investment &amp; interest income (Cash Schedule)</t>
        </is>
      </c>
      <c r="B10" s="19" t="n">
        <v>6.1</v>
      </c>
      <c r="C10" s="19" t="n">
        <v>32</v>
      </c>
      <c r="D10" s="19" t="n">
        <v>107</v>
      </c>
      <c r="E10" s="19" t="n">
        <v>150</v>
      </c>
      <c r="F10" s="21">
        <f>'Cash Schedule'!F23</f>
        <v/>
      </c>
      <c r="G10" s="21">
        <f>'Cash Schedule'!G23</f>
        <v/>
      </c>
      <c r="H10" s="21">
        <f>'Cash Schedule'!H23</f>
        <v/>
      </c>
      <c r="I10" s="21">
        <f>'Cash Schedule'!I23</f>
        <v/>
      </c>
      <c r="J10" s="21">
        <f>'Cash Schedule'!J23</f>
        <v/>
      </c>
    </row>
    <row r="11">
      <c r="A11" s="23" t="inlineStr">
        <is>
          <t>Profit before tax</t>
        </is>
      </c>
      <c r="B11" s="24" t="n">
        <v>1086.6</v>
      </c>
      <c r="C11" s="24" t="n">
        <v>1278.6</v>
      </c>
      <c r="D11" s="24" t="n">
        <v>1857</v>
      </c>
      <c r="E11" s="24" t="n">
        <v>2135</v>
      </c>
      <c r="F11" s="25">
        <f>F8+F9+F10</f>
        <v/>
      </c>
      <c r="G11" s="25">
        <f>G8+G9+G10</f>
        <v/>
      </c>
      <c r="H11" s="25">
        <f>H8+H9+H10</f>
        <v/>
      </c>
      <c r="I11" s="25">
        <f>I8+I9+I10</f>
        <v/>
      </c>
      <c r="J11" s="25">
        <f>J8+J9+J10</f>
        <v/>
      </c>
    </row>
    <row r="12">
      <c r="A12" s="22" t="inlineStr">
        <is>
          <t>Less: Tax</t>
        </is>
      </c>
      <c r="B12" s="19">
        <f>B11-B13</f>
        <v/>
      </c>
      <c r="C12" s="19">
        <f>C11-C13</f>
        <v/>
      </c>
      <c r="D12" s="19">
        <f>D11-D13</f>
        <v/>
      </c>
      <c r="E12" s="19">
        <f>E11-E13</f>
        <v/>
      </c>
      <c r="F12" s="21">
        <f>-F11*Assumptions!F8</f>
        <v/>
      </c>
      <c r="G12" s="21">
        <f>-G11*Assumptions!G8</f>
        <v/>
      </c>
      <c r="H12" s="21">
        <f>-H11*Assumptions!H8</f>
        <v/>
      </c>
      <c r="I12" s="21">
        <f>-I11*Assumptions!I8</f>
        <v/>
      </c>
      <c r="J12" s="21">
        <f>-J11*Assumptions!J8</f>
        <v/>
      </c>
    </row>
    <row r="13">
      <c r="A13" s="23" t="inlineStr">
        <is>
          <t>Profit after tax (PAT)</t>
        </is>
      </c>
      <c r="B13" s="29" t="n">
        <v>810.6</v>
      </c>
      <c r="C13" s="29" t="n">
        <v>1125.8</v>
      </c>
      <c r="D13" s="29" t="n">
        <v>1408</v>
      </c>
      <c r="E13" s="29" t="n">
        <v>1582</v>
      </c>
      <c r="F13" s="31">
        <f>F11+F12</f>
        <v/>
      </c>
      <c r="G13" s="31">
        <f>G11+G12</f>
        <v/>
      </c>
      <c r="H13" s="31">
        <f>H11+H12</f>
        <v/>
      </c>
      <c r="I13" s="31">
        <f>I11+I12</f>
        <v/>
      </c>
      <c r="J13" s="31">
        <f>J11+J12</f>
        <v/>
      </c>
    </row>
    <row r="15">
      <c r="A15" s="5" t="inlineStr">
        <is>
          <t>B.  Cash-flow feeder lines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15" t="inlineStr">
        <is>
          <t>Capital expenditure</t>
        </is>
      </c>
      <c r="B16" s="19" t="n">
        <v>134</v>
      </c>
      <c r="C16" s="19" t="n">
        <v>136.6</v>
      </c>
      <c r="D16" s="19" t="n">
        <v>98</v>
      </c>
      <c r="E16" s="19" t="n">
        <v>162</v>
      </c>
      <c r="F16" s="21">
        <f>F5*Assumptions!F10</f>
        <v/>
      </c>
      <c r="G16" s="21">
        <f>G5*Assumptions!G10</f>
        <v/>
      </c>
      <c r="H16" s="21">
        <f>H5*Assumptions!H10</f>
        <v/>
      </c>
      <c r="I16" s="21">
        <f>I5*Assumptions!I10</f>
        <v/>
      </c>
      <c r="J16" s="21">
        <f>J5*Assumptions!J10</f>
        <v/>
      </c>
    </row>
    <row r="17">
      <c r="A17" s="15" t="inlineStr">
        <is>
          <t>Increase in net working capital</t>
        </is>
      </c>
      <c r="B17" s="19" t="n"/>
      <c r="C17" s="19" t="n"/>
      <c r="D17" s="19" t="n"/>
      <c r="E17" s="19" t="n"/>
      <c r="F17" s="21">
        <f>(F5-E5)*Assumptions!F11</f>
        <v/>
      </c>
      <c r="G17" s="21">
        <f>(G5-F5)*Assumptions!G11</f>
        <v/>
      </c>
      <c r="H17" s="21">
        <f>(H5-G5)*Assumptions!H11</f>
        <v/>
      </c>
      <c r="I17" s="21">
        <f>(I5-H5)*Assumptions!I11</f>
        <v/>
      </c>
      <c r="J17" s="21">
        <f>(J5-I5)*Assumptions!J11</f>
        <v/>
      </c>
    </row>
    <row r="18">
      <c r="A18" s="15" t="inlineStr">
        <is>
          <t>Dividends paid (payout x prior-year PAT)</t>
        </is>
      </c>
      <c r="B18" s="19" t="n">
        <v>0</v>
      </c>
      <c r="C18" s="19" t="n">
        <v>0</v>
      </c>
      <c r="D18" s="19" t="n">
        <v>284</v>
      </c>
      <c r="E18" s="19" t="n">
        <v>355</v>
      </c>
      <c r="F18" s="21">
        <f>E13*Assumptions!F12</f>
        <v/>
      </c>
      <c r="G18" s="21">
        <f>F13*Assumptions!G12</f>
        <v/>
      </c>
      <c r="H18" s="21">
        <f>G13*Assumptions!H12</f>
        <v/>
      </c>
      <c r="I18" s="21">
        <f>H13*Assumptions!I12</f>
        <v/>
      </c>
      <c r="J18" s="21">
        <f>I13*Assumptions!J12</f>
        <v/>
      </c>
    </row>
    <row r="20">
      <c r="A20" s="5" t="inlineStr">
        <is>
          <t>C.  NET INTEREST  (the headline output)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15" t="inlineStr">
        <is>
          <t>Investment &amp; interest income</t>
        </is>
      </c>
      <c r="B21" s="19">
        <f>B10</f>
        <v/>
      </c>
      <c r="C21" s="19">
        <f>C10</f>
        <v/>
      </c>
      <c r="D21" s="19">
        <f>D10</f>
        <v/>
      </c>
      <c r="E21" s="19">
        <f>E10</f>
        <v/>
      </c>
      <c r="F21" s="21">
        <f>F10</f>
        <v/>
      </c>
      <c r="G21" s="21">
        <f>G10</f>
        <v/>
      </c>
      <c r="H21" s="21">
        <f>H10</f>
        <v/>
      </c>
      <c r="I21" s="21">
        <f>I10</f>
        <v/>
      </c>
      <c r="J21" s="21">
        <f>J10</f>
        <v/>
      </c>
    </row>
    <row r="22">
      <c r="A22" s="15" t="inlineStr">
        <is>
          <t>Finance cost</t>
        </is>
      </c>
      <c r="B22" s="19">
        <f>B9</f>
        <v/>
      </c>
      <c r="C22" s="19">
        <f>C9</f>
        <v/>
      </c>
      <c r="D22" s="19">
        <f>D9</f>
        <v/>
      </c>
      <c r="E22" s="19">
        <f>E9</f>
        <v/>
      </c>
      <c r="F22" s="21">
        <f>F9</f>
        <v/>
      </c>
      <c r="G22" s="21">
        <f>G9</f>
        <v/>
      </c>
      <c r="H22" s="21">
        <f>H9</f>
        <v/>
      </c>
      <c r="I22" s="21">
        <f>I9</f>
        <v/>
      </c>
      <c r="J22" s="21">
        <f>J9</f>
        <v/>
      </c>
    </row>
    <row r="23">
      <c r="A23" s="23" t="inlineStr">
        <is>
          <t>NET INTEREST  (income - cost)</t>
        </is>
      </c>
      <c r="B23" s="24">
        <f>B21+B22</f>
        <v/>
      </c>
      <c r="C23" s="24">
        <f>C21+C22</f>
        <v/>
      </c>
      <c r="D23" s="24">
        <f>D21+D22</f>
        <v/>
      </c>
      <c r="E23" s="24">
        <f>E21+E22</f>
        <v/>
      </c>
      <c r="F23" s="30">
        <f>F21+F22</f>
        <v/>
      </c>
      <c r="G23" s="30">
        <f>G21+G22</f>
        <v/>
      </c>
      <c r="H23" s="30">
        <f>H21+H22</f>
        <v/>
      </c>
      <c r="I23" s="30">
        <f>I21+I22</f>
        <v/>
      </c>
      <c r="J23" s="30">
        <f>J21+J22</f>
        <v/>
      </c>
    </row>
    <row r="24">
      <c r="A24" s="28" t="inlineStr">
        <is>
          <t>memo: incl. one-off tax-refund interest (hist.)</t>
        </is>
      </c>
      <c r="B24" s="32">
        <f>B23+0.0</f>
        <v/>
      </c>
      <c r="C24" s="32">
        <f>C23+0.0</f>
        <v/>
      </c>
      <c r="D24" s="32">
        <f>D23+88.0</f>
        <v/>
      </c>
      <c r="E24" s="32">
        <f>E23+48.0</f>
        <v/>
      </c>
      <c r="F24" s="27">
        <f>F23</f>
        <v/>
      </c>
      <c r="G24" s="27">
        <f>G23</f>
        <v/>
      </c>
      <c r="H24" s="27">
        <f>H23</f>
        <v/>
      </c>
      <c r="I24" s="27">
        <f>I23</f>
        <v/>
      </c>
      <c r="J24" s="27">
        <f>J23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2026-06-07T10:57:07Z</dcterms:created>
  <dcterms:modified xsi:type="dcterms:W3CDTF">2026-06-07T10:57:07Z</dcterms:modified>
</cp:coreProperties>
</file>