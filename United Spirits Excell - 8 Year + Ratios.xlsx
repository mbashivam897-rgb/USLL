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7" autoFilterDateGrouping="1"/>
  </bookViews>
  <sheets>
    <sheet name="DataShee" sheetId="1" state="visible" r:id="rId1"/>
    <sheet name="Scenarios" sheetId="2" state="visible" r:id="rId2"/>
    <sheet name="Comparables" sheetId="3" state="visible" r:id="rId3"/>
    <sheet name="Assumptions" sheetId="4" state="visible" r:id="rId4"/>
    <sheet name="Working Capital Schedule" sheetId="5" state="visible" r:id="rId5"/>
    <sheet name="PL" sheetId="6" state="visible" r:id="rId6"/>
    <sheet name="BS" sheetId="7" state="visible" r:id="rId7"/>
    <sheet name="CS" sheetId="8" state="visible" r:id="rId8"/>
    <sheet name="Working Schedules" sheetId="9" state="visible" r:id="rId9"/>
    <sheet name="DCF" sheetId="10" state="visible" r:id="rId10"/>
    <sheet name="Beta Calculation" sheetId="11" state="visible" r:id="rId11"/>
    <sheet name="Company &amp; Market Insights" sheetId="12" state="visible" r:id="rId12"/>
    <sheet name="Cashflow" sheetId="13" state="visible" r:id="rId13"/>
    <sheet name="Balance Sheet" sheetId="14" state="visible" r:id="rId14"/>
    <sheet name="Notes to accounts" sheetId="15" state="visible" r:id="rId15"/>
    <sheet name="P&amp;L" sheetId="16" state="visible" r:id="rId16"/>
    <sheet name="Ratios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1">
    <numFmt numFmtId="164" formatCode="0\A"/>
    <numFmt numFmtId="165" formatCode="0\E"/>
    <numFmt numFmtId="166" formatCode="0.0_);\(0.0\)"/>
    <numFmt numFmtId="167" formatCode="_(* #,##0.0_);_(* \(#,##0.0\);_(* &quot;-&quot;?_);_(@_)"/>
    <numFmt numFmtId="168" formatCode="0&quot;A&quot;"/>
    <numFmt numFmtId="169" formatCode="[$-409]mmm\-yy;@"/>
    <numFmt numFmtId="170" formatCode="0.0%"/>
    <numFmt numFmtId="171" formatCode="0.00_);\(0.00\)"/>
    <numFmt numFmtId="172" formatCode="0.0"/>
    <numFmt numFmtId="173" formatCode="0.00000_);\(0.00000\)"/>
    <numFmt numFmtId="174" formatCode="0.0000_);\(0.0000\)"/>
    <numFmt numFmtId="175" formatCode="0&quot;E&quot;"/>
    <numFmt numFmtId="176" formatCode="0.000000_);\(0.000000\)"/>
    <numFmt numFmtId="177" formatCode="0.00000"/>
    <numFmt numFmtId="178" formatCode="#,##0.0_);\(#,##0.0\)"/>
    <numFmt numFmtId="179" formatCode="[$-409]mmmm\ d\,\ yyyy;@"/>
    <numFmt numFmtId="180" formatCode="#,##0.000_);\(#,##0.000\)"/>
    <numFmt numFmtId="181" formatCode="0.0\x"/>
    <numFmt numFmtId="182" formatCode="_ * #,##0.00_ ;_ * \-#,##0.00_ ;_ * &quot;-&quot;??_ ;_ @_ "/>
    <numFmt numFmtId="183" formatCode="0.0&quot;x&quot;"/>
    <numFmt numFmtId="184" formatCode="0.00&quot;x&quot;"/>
  </numFmts>
  <fonts count="3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rgb="FF7030A0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rgb="FF0070C0"/>
      <sz val="11"/>
      <scheme val="minor"/>
    </font>
    <font>
      <name val="Calibri"/>
      <family val="2"/>
      <color rgb="FF000000"/>
      <sz val="10"/>
    </font>
    <font>
      <name val="Calibri"/>
      <family val="2"/>
      <color theme="4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theme="1"/>
      <sz val="11"/>
      <scheme val="minor"/>
    </font>
    <font>
      <b val="1"/>
      <sz val="12"/>
    </font>
    <font>
      <b val="1"/>
    </font>
    <font>
      <b val="1"/>
      <color rgb="001F4E78"/>
    </font>
  </fonts>
  <fills count="11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DDEBF7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70C0"/>
      </left>
      <right/>
      <top style="dotted">
        <color rgb="FF0070C0"/>
      </top>
      <bottom/>
      <diagonal/>
    </border>
    <border>
      <left/>
      <right/>
      <top style="dotted">
        <color rgb="FF0070C0"/>
      </top>
      <bottom/>
      <diagonal/>
    </border>
    <border>
      <left/>
      <right style="dotted">
        <color rgb="FF0070C0"/>
      </right>
      <top style="dotted">
        <color rgb="FF0070C0"/>
      </top>
      <bottom/>
      <diagonal/>
    </border>
    <border>
      <left style="dotted">
        <color rgb="FF0070C0"/>
      </left>
      <right/>
      <top/>
      <bottom/>
      <diagonal/>
    </border>
    <border>
      <left/>
      <right style="dotted">
        <color rgb="FF0070C0"/>
      </right>
      <top/>
      <bottom/>
      <diagonal/>
    </border>
    <border>
      <left style="dotted">
        <color rgb="FF0070C0"/>
      </left>
      <right/>
      <top/>
      <bottom style="dotted">
        <color rgb="FF0070C0"/>
      </bottom>
      <diagonal/>
    </border>
    <border>
      <left/>
      <right/>
      <top/>
      <bottom style="dotted">
        <color rgb="FF0070C0"/>
      </bottom>
      <diagonal/>
    </border>
    <border>
      <left/>
      <right style="dotted">
        <color rgb="FF0070C0"/>
      </right>
      <top/>
      <bottom style="dotted">
        <color rgb="FF0070C0"/>
      </bottom>
      <diagonal/>
    </border>
    <border>
      <left/>
      <right/>
      <top style="thin">
        <color theme="4" tint="-0.249977111117893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4"/>
      </left>
      <right/>
      <top style="dotted">
        <color theme="4"/>
      </top>
      <bottom/>
      <diagonal/>
    </border>
    <border>
      <left/>
      <right/>
      <top style="dotted">
        <color theme="4"/>
      </top>
      <bottom/>
      <diagonal/>
    </border>
    <border>
      <left/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/>
      <top/>
      <bottom/>
      <diagonal/>
    </border>
    <border>
      <left/>
      <right style="dotted">
        <color theme="4"/>
      </right>
      <top/>
      <bottom/>
      <diagonal/>
    </border>
    <border>
      <left style="dotted">
        <color theme="4"/>
      </left>
      <right/>
      <top/>
      <bottom style="dotted">
        <color theme="4"/>
      </bottom>
      <diagonal/>
    </border>
    <border>
      <left/>
      <right/>
      <top/>
      <bottom style="dotted">
        <color theme="4"/>
      </bottom>
      <diagonal/>
    </border>
    <border>
      <left/>
      <right style="dotted">
        <color theme="4"/>
      </right>
      <top/>
      <bottom style="dotted">
        <color theme="4"/>
      </bottom>
      <diagonal/>
    </border>
    <border>
      <left/>
      <right/>
      <top style="hair">
        <color rgb="FF0070C0"/>
      </top>
      <bottom/>
      <diagonal/>
    </border>
    <border>
      <left/>
      <right style="hair">
        <color rgb="FF0070C0"/>
      </right>
      <top style="hair">
        <color rgb="FF0070C0"/>
      </top>
      <bottom/>
      <diagonal/>
    </border>
    <border>
      <left style="hair">
        <color rgb="FF0070C0"/>
      </left>
      <right/>
      <top/>
      <bottom/>
      <diagonal/>
    </border>
    <border>
      <left/>
      <right style="hair">
        <color rgb="FF0070C0"/>
      </right>
      <top/>
      <bottom/>
      <diagonal/>
    </border>
    <border>
      <left style="hair">
        <color rgb="FF0070C0"/>
      </left>
      <right/>
      <top/>
      <bottom style="hair">
        <color rgb="FF0070C0"/>
      </bottom>
      <diagonal/>
    </border>
    <border>
      <left/>
      <right/>
      <top/>
      <bottom style="hair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2060"/>
      </left>
      <right/>
      <top style="hair">
        <color rgb="FF002060"/>
      </top>
      <bottom/>
      <diagonal/>
    </border>
    <border>
      <left/>
      <right/>
      <top style="hair">
        <color rgb="FF002060"/>
      </top>
      <bottom/>
      <diagonal/>
    </border>
    <border>
      <left/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/>
      <top/>
      <bottom/>
      <diagonal/>
    </border>
    <border>
      <left/>
      <right style="hair">
        <color rgb="FF002060"/>
      </right>
      <top/>
      <bottom/>
      <diagonal/>
    </border>
    <border>
      <left style="hair">
        <color rgb="FF002060"/>
      </left>
      <right/>
      <top/>
      <bottom style="hair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 style="hair">
        <color rgb="FF002060"/>
      </right>
      <top/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 style="hair">
        <color rgb="FF002060"/>
      </right>
      <top/>
      <bottom style="hair">
        <color rgb="FF002060"/>
      </bottom>
      <diagonal/>
    </border>
    <border>
      <left style="hair">
        <color rgb="FF0070C0"/>
      </left>
      <right/>
      <top style="hair">
        <color rgb="FF0070C0"/>
      </top>
      <bottom style="thin">
        <color indexed="64"/>
      </bottom>
      <diagonal/>
    </border>
    <border>
      <left/>
      <right/>
      <top style="hair">
        <color rgb="FF0070C0"/>
      </top>
      <bottom style="thin">
        <color indexed="64"/>
      </bottom>
      <diagonal/>
    </border>
    <border>
      <left/>
      <right style="hair">
        <color rgb="FF0070C0"/>
      </right>
      <top style="hair">
        <color rgb="FF0070C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bottom style="thin"/>
    </border>
  </borders>
  <cellStyleXfs count="5">
    <xf numFmtId="0" fontId="9" fillId="0" borderId="0"/>
    <xf numFmtId="43" fontId="9" fillId="0" borderId="0"/>
    <xf numFmtId="9" fontId="9" fillId="0" borderId="0"/>
    <xf numFmtId="0" fontId="11" fillId="5" borderId="0"/>
    <xf numFmtId="0" fontId="13" fillId="0" borderId="0"/>
  </cellStyleXfs>
  <cellXfs count="445">
    <xf numFmtId="0" fontId="0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3" fillId="0" borderId="0" pivotButton="0" quotePrefix="0" xfId="0"/>
    <xf numFmtId="164" fontId="2" fillId="0" borderId="1" applyAlignment="1" pivotButton="0" quotePrefix="0" xfId="0">
      <alignment horizontal="right" vertical="center"/>
    </xf>
    <xf numFmtId="0" fontId="4" fillId="2" borderId="0" pivotButton="0" quotePrefix="0" xfId="0"/>
    <xf numFmtId="16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0" borderId="0" applyAlignment="1" pivotButton="0" quotePrefix="0" xfId="0">
      <alignment horizontal="left" indent="1"/>
    </xf>
    <xf numFmtId="3" fontId="0" fillId="0" borderId="0" applyAlignment="1" pivotButton="0" quotePrefix="0" xfId="0">
      <alignment horizontal="left" indent="1"/>
    </xf>
    <xf numFmtId="2" fontId="3" fillId="0" borderId="0" applyAlignment="1" pivotButton="0" quotePrefix="0" xfId="0">
      <alignment horizontal="right" vertical="center"/>
    </xf>
    <xf numFmtId="2" fontId="3" fillId="0" borderId="0" pivotButton="0" quotePrefix="0" xfId="0"/>
    <xf numFmtId="2" fontId="5" fillId="2" borderId="1" applyAlignment="1" pivotButton="0" quotePrefix="0" xfId="0">
      <alignment horizontal="right" vertical="center"/>
    </xf>
    <xf numFmtId="2" fontId="4" fillId="2" borderId="0" pivotButton="0" quotePrefix="0" xfId="0"/>
    <xf numFmtId="2" fontId="0" fillId="0" borderId="0" pivotButton="0" quotePrefix="0" xfId="0"/>
    <xf numFmtId="3" fontId="1" fillId="2" borderId="0" pivotButton="0" quotePrefix="0" xfId="0"/>
    <xf numFmtId="2" fontId="0" fillId="2" borderId="0" pivotButton="0" quotePrefix="0" xfId="0"/>
    <xf numFmtId="2" fontId="0" fillId="0" borderId="1" pivotButton="0" quotePrefix="0" xfId="0"/>
    <xf numFmtId="2" fontId="1" fillId="0" borderId="1" pivotButton="0" quotePrefix="0" xfId="0"/>
    <xf numFmtId="2" fontId="1" fillId="2" borderId="1" pivotButton="0" quotePrefix="0" xfId="0"/>
    <xf numFmtId="2" fontId="3" fillId="0" borderId="1" applyAlignment="1" pivotButton="0" quotePrefix="0" xfId="0">
      <alignment horizontal="right" vertical="center"/>
    </xf>
    <xf numFmtId="2" fontId="6" fillId="0" borderId="1" pivotButton="0" quotePrefix="0" xfId="0"/>
    <xf numFmtId="2" fontId="6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2" fontId="3" fillId="2" borderId="0" applyAlignment="1" pivotButton="0" quotePrefix="0" xfId="0">
      <alignment horizontal="right" vertical="center"/>
    </xf>
    <xf numFmtId="165" fontId="1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1" fillId="0" borderId="0" applyAlignment="1" pivotButton="0" quotePrefix="0" xfId="0">
      <alignment horizontal="left"/>
    </xf>
    <xf numFmtId="0" fontId="0" fillId="4" borderId="0" pivotButton="0" quotePrefix="0" xfId="0"/>
    <xf numFmtId="166" fontId="1" fillId="0" borderId="1" pivotButton="0" quotePrefix="0" xfId="0"/>
    <xf numFmtId="166" fontId="6" fillId="0" borderId="1" pivotButton="0" quotePrefix="0" xfId="0"/>
    <xf numFmtId="166" fontId="0" fillId="0" borderId="1" pivotButton="0" quotePrefix="0" xfId="0"/>
    <xf numFmtId="165" fontId="2" fillId="0" borderId="0" applyAlignment="1" pivotButton="0" quotePrefix="0" xfId="0">
      <alignment horizontal="right" vertical="center"/>
    </xf>
    <xf numFmtId="2" fontId="4" fillId="0" borderId="0" pivotButton="0" quotePrefix="0" xfId="0"/>
    <xf numFmtId="166" fontId="8" fillId="3" borderId="1" pivotButton="0" quotePrefix="0" xfId="0"/>
    <xf numFmtId="166" fontId="7" fillId="0" borderId="1" pivotButton="0" quotePrefix="0" xfId="0"/>
    <xf numFmtId="166" fontId="0" fillId="0" borderId="0" pivotButton="0" quotePrefix="0" xfId="0"/>
    <xf numFmtId="167" fontId="6" fillId="0" borderId="1" pivotButton="0" quotePrefix="0" xfId="1"/>
    <xf numFmtId="166" fontId="0" fillId="0" borderId="0" applyAlignment="1" pivotButton="0" quotePrefix="0" xfId="0">
      <alignment horizontal="right"/>
    </xf>
    <xf numFmtId="168" fontId="1" fillId="0" borderId="1" applyAlignment="1" pivotButton="0" quotePrefix="0" xfId="0">
      <alignment horizontal="right"/>
    </xf>
    <xf numFmtId="166" fontId="1" fillId="4" borderId="1" applyAlignment="1" pivotButton="0" quotePrefix="0" xfId="0">
      <alignment horizontal="right"/>
    </xf>
    <xf numFmtId="167" fontId="1" fillId="0" borderId="1" applyAlignment="1" pivotButton="0" quotePrefix="0" xfId="1">
      <alignment horizontal="right"/>
    </xf>
    <xf numFmtId="167" fontId="6" fillId="0" borderId="1" applyAlignment="1" pivotButton="0" quotePrefix="0" xfId="1">
      <alignment horizontal="right"/>
    </xf>
    <xf numFmtId="167" fontId="0" fillId="0" borderId="1" applyAlignment="1" pivotButton="0" quotePrefix="0" xfId="1">
      <alignment horizontal="right"/>
    </xf>
    <xf numFmtId="166" fontId="6" fillId="0" borderId="0" pivotButton="0" quotePrefix="0" xfId="0"/>
    <xf numFmtId="166" fontId="12" fillId="0" borderId="1" pivotButton="0" quotePrefix="0" xfId="0"/>
    <xf numFmtId="168" fontId="1" fillId="0" borderId="1" pivotButton="0" quotePrefix="0" xfId="0"/>
    <xf numFmtId="43" fontId="1" fillId="0" borderId="0" pivotButton="0" quotePrefix="0" xfId="1"/>
    <xf numFmtId="43" fontId="0" fillId="0" borderId="0" pivotButton="0" quotePrefix="0" xfId="1"/>
    <xf numFmtId="169" fontId="10" fillId="6" borderId="0" pivotButton="0" quotePrefix="0" xfId="1"/>
    <xf numFmtId="169" fontId="10" fillId="6" borderId="0" applyAlignment="1" pivotButton="0" quotePrefix="0" xfId="0">
      <alignment horizontal="center"/>
    </xf>
    <xf numFmtId="169" fontId="7" fillId="0" borderId="0" pivotButton="0" quotePrefix="0" xfId="1"/>
    <xf numFmtId="43" fontId="9" fillId="0" borderId="0" pivotButton="0" quotePrefix="0" xfId="1"/>
    <xf numFmtId="9" fontId="0" fillId="0" borderId="0" pivotButton="0" quotePrefix="0" xfId="2"/>
    <xf numFmtId="10" fontId="0" fillId="0" borderId="0" pivotButton="0" quotePrefix="0" xfId="0"/>
    <xf numFmtId="0" fontId="0" fillId="0" borderId="0" applyAlignment="1" pivotButton="0" quotePrefix="0" xfId="1">
      <alignment horizontal="left" indent="1"/>
    </xf>
    <xf numFmtId="0" fontId="1" fillId="0" borderId="4" pivotButton="0" quotePrefix="0" xfId="0"/>
    <xf numFmtId="170" fontId="0" fillId="0" borderId="0" pivotButton="0" quotePrefix="0" xfId="0"/>
    <xf numFmtId="170" fontId="0" fillId="0" borderId="0" pivotButton="0" quotePrefix="0" xfId="2"/>
    <xf numFmtId="1" fontId="0" fillId="0" borderId="0" pivotButton="0" quotePrefix="0" xfId="0"/>
    <xf numFmtId="0" fontId="10" fillId="7" borderId="0" pivotButton="0" quotePrefix="0" xfId="0"/>
    <xf numFmtId="1" fontId="10" fillId="7" borderId="0" pivotButton="0" quotePrefix="0" xfId="0"/>
    <xf numFmtId="2" fontId="0" fillId="0" borderId="2" pivotButton="0" quotePrefix="0" xfId="0"/>
    <xf numFmtId="9" fontId="1" fillId="0" borderId="2" pivotButton="0" quotePrefix="0" xfId="2"/>
    <xf numFmtId="0" fontId="17" fillId="0" borderId="3" pivotButton="0" quotePrefix="0" xfId="0"/>
    <xf numFmtId="9" fontId="17" fillId="0" borderId="3" pivotButton="0" quotePrefix="0" xfId="2"/>
    <xf numFmtId="0" fontId="10" fillId="8" borderId="0" pivotButton="0" quotePrefix="0" xfId="0"/>
    <xf numFmtId="0" fontId="11" fillId="8" borderId="0" pivotButton="0" quotePrefix="0" xfId="0"/>
    <xf numFmtId="0" fontId="0" fillId="8" borderId="0" pivotButton="0" quotePrefix="0" xfId="0"/>
    <xf numFmtId="2" fontId="0" fillId="9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0" borderId="5" pivotButton="0" quotePrefix="0" xfId="0"/>
    <xf numFmtId="9" fontId="1" fillId="0" borderId="3" pivotButton="0" quotePrefix="0" xfId="2"/>
    <xf numFmtId="9" fontId="1" fillId="0" borderId="7" pivotButton="0" quotePrefix="0" xfId="2"/>
    <xf numFmtId="9" fontId="16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9" fontId="16" fillId="0" borderId="9" pivotButton="0" quotePrefix="0" xfId="0"/>
    <xf numFmtId="9" fontId="16" fillId="0" borderId="10" pivotButton="0" quotePrefix="0" xfId="0"/>
    <xf numFmtId="0" fontId="0" fillId="0" borderId="11" pivotButton="0" quotePrefix="0" xfId="0"/>
    <xf numFmtId="9" fontId="16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9" fontId="16" fillId="0" borderId="14" pivotButton="0" quotePrefix="0" xfId="0"/>
    <xf numFmtId="9" fontId="16" fillId="0" borderId="15" pivotButton="0" quotePrefix="0" xfId="0"/>
    <xf numFmtId="0" fontId="18" fillId="0" borderId="0" pivotButton="0" quotePrefix="0" xfId="0"/>
    <xf numFmtId="0" fontId="1" fillId="0" borderId="16" pivotButton="0" quotePrefix="0" xfId="0"/>
    <xf numFmtId="0" fontId="1" fillId="0" borderId="17" pivotButton="0" quotePrefix="0" xfId="0"/>
    <xf numFmtId="170" fontId="16" fillId="0" borderId="0" pivotButton="0" quotePrefix="0" xfId="2"/>
    <xf numFmtId="0" fontId="1" fillId="0" borderId="17" applyAlignment="1" pivotButton="0" quotePrefix="0" xfId="0">
      <alignment horizontal="left"/>
    </xf>
    <xf numFmtId="171" fontId="14" fillId="0" borderId="0" pivotButton="0" quotePrefix="0" xfId="0"/>
    <xf numFmtId="171" fontId="1" fillId="0" borderId="0" pivotButton="0" quotePrefix="0" xfId="0"/>
    <xf numFmtId="171" fontId="1" fillId="0" borderId="17" pivotButton="0" quotePrefix="0" xfId="0"/>
    <xf numFmtId="171" fontId="0" fillId="0" borderId="0" pivotButton="0" quotePrefix="0" xfId="0"/>
    <xf numFmtId="171" fontId="15" fillId="0" borderId="0" pivotButton="0" quotePrefix="0" xfId="0"/>
    <xf numFmtId="171" fontId="8" fillId="0" borderId="17" pivotButton="0" quotePrefix="0" xfId="0"/>
    <xf numFmtId="171" fontId="8" fillId="0" borderId="0" pivotButton="0" quotePrefix="0" xfId="0"/>
    <xf numFmtId="171" fontId="0" fillId="0" borderId="17" pivotButton="0" quotePrefix="0" xfId="0"/>
    <xf numFmtId="171" fontId="1" fillId="0" borderId="4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left"/>
    </xf>
    <xf numFmtId="172" fontId="16" fillId="0" borderId="0" pivotButton="0" quotePrefix="0" xfId="0"/>
    <xf numFmtId="166" fontId="16" fillId="0" borderId="0" pivotButton="0" quotePrefix="0" xfId="0"/>
    <xf numFmtId="166" fontId="7" fillId="0" borderId="0" pivotButton="0" quotePrefix="0" xfId="0"/>
    <xf numFmtId="9" fontId="0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6" fillId="0" borderId="0" pivotButton="0" quotePrefix="0" xfId="0"/>
    <xf numFmtId="0" fontId="21" fillId="0" borderId="0" pivotButton="0" quotePrefix="0" xfId="0"/>
    <xf numFmtId="171" fontId="16" fillId="0" borderId="0" pivotButton="0" quotePrefix="0" xfId="0"/>
    <xf numFmtId="0" fontId="0" fillId="0" borderId="18" pivotButton="0" quotePrefix="0" xfId="0"/>
    <xf numFmtId="0" fontId="1" fillId="0" borderId="18" pivotButton="0" quotePrefix="0" xfId="0"/>
    <xf numFmtId="9" fontId="1" fillId="0" borderId="0" pivotButton="0" quotePrefix="0" xfId="0"/>
    <xf numFmtId="1" fontId="7" fillId="0" borderId="0" pivotButton="0" quotePrefix="0" xfId="0"/>
    <xf numFmtId="0" fontId="24" fillId="0" borderId="0" pivotButton="0" quotePrefix="0" xfId="0"/>
    <xf numFmtId="10" fontId="0" fillId="0" borderId="0" pivotButton="0" quotePrefix="0" xfId="2"/>
    <xf numFmtId="0" fontId="25" fillId="0" borderId="0" applyAlignment="1" pivotButton="0" quotePrefix="0" xfId="0">
      <alignment horizontal="left"/>
    </xf>
    <xf numFmtId="0" fontId="25" fillId="0" borderId="0" applyAlignment="1" pivotButton="0" quotePrefix="0" xfId="0">
      <alignment vertical="top"/>
    </xf>
    <xf numFmtId="10" fontId="16" fillId="0" borderId="0" pivotButton="0" quotePrefix="0" xfId="2"/>
    <xf numFmtId="2" fontId="0" fillId="0" borderId="0" pivotButton="0" quotePrefix="0" xfId="2"/>
    <xf numFmtId="1" fontId="16" fillId="0" borderId="0" pivotButton="0" quotePrefix="0" xfId="0"/>
    <xf numFmtId="167" fontId="6" fillId="0" borderId="0" applyAlignment="1" pivotButton="0" quotePrefix="0" xfId="1">
      <alignment horizontal="right"/>
    </xf>
    <xf numFmtId="173" fontId="0" fillId="0" borderId="0" pivotButton="0" quotePrefix="0" xfId="0"/>
    <xf numFmtId="43" fontId="0" fillId="0" borderId="0" pivotButton="0" quotePrefix="0" xfId="0"/>
    <xf numFmtId="1" fontId="16" fillId="0" borderId="0" pivotButton="0" quotePrefix="0" xfId="2"/>
    <xf numFmtId="1" fontId="0" fillId="0" borderId="18" pivotButton="0" quotePrefix="0" xfId="2"/>
    <xf numFmtId="174" fontId="0" fillId="0" borderId="0" pivotButton="0" quotePrefix="0" xfId="0"/>
    <xf numFmtId="171" fontId="0" fillId="0" borderId="0" pivotButton="0" quotePrefix="0" xfId="2"/>
    <xf numFmtId="168" fontId="1" fillId="0" borderId="0" pivotButton="0" quotePrefix="0" xfId="0"/>
    <xf numFmtId="175" fontId="1" fillId="0" borderId="0" pivotButton="0" quotePrefix="0" xfId="0"/>
    <xf numFmtId="168" fontId="8" fillId="0" borderId="0" pivotButton="0" quotePrefix="0" xfId="0"/>
    <xf numFmtId="2" fontId="24" fillId="0" borderId="0" pivotButton="0" quotePrefix="0" xfId="0"/>
    <xf numFmtId="2" fontId="1" fillId="0" borderId="0" pivotButton="0" quotePrefix="0" xfId="0"/>
    <xf numFmtId="171" fontId="16" fillId="0" borderId="0" pivotButton="0" quotePrefix="0" xfId="2"/>
    <xf numFmtId="171" fontId="15" fillId="0" borderId="0" pivotButton="0" quotePrefix="0" xfId="2"/>
    <xf numFmtId="171" fontId="0" fillId="0" borderId="0" pivotButton="0" quotePrefix="0" xfId="2"/>
    <xf numFmtId="171" fontId="1" fillId="0" borderId="0" pivotButton="0" quotePrefix="0" xfId="2"/>
    <xf numFmtId="171" fontId="27" fillId="0" borderId="0" pivotButton="0" quotePrefix="0" xfId="2"/>
    <xf numFmtId="171" fontId="9" fillId="0" borderId="0" pivotButton="0" quotePrefix="0" xfId="2"/>
    <xf numFmtId="171" fontId="26" fillId="0" borderId="0" pivotButton="0" quotePrefix="0" xfId="2"/>
    <xf numFmtId="0" fontId="0" fillId="0" borderId="20" pivotButton="0" quotePrefix="0" xfId="0"/>
    <xf numFmtId="0" fontId="0" fillId="0" borderId="21" pivotButton="0" quotePrefix="0" xfId="0"/>
    <xf numFmtId="0" fontId="1" fillId="0" borderId="22" pivotButton="0" quotePrefix="0" xfId="0"/>
    <xf numFmtId="175" fontId="1" fillId="0" borderId="23" pivotButton="0" quotePrefix="0" xfId="0"/>
    <xf numFmtId="0" fontId="0" fillId="0" borderId="22" pivotButton="0" quotePrefix="0" xfId="0"/>
    <xf numFmtId="171" fontId="15" fillId="0" borderId="23" pivotButton="0" quotePrefix="0" xfId="0"/>
    <xf numFmtId="171" fontId="0" fillId="0" borderId="23" pivotButton="0" quotePrefix="0" xfId="0"/>
    <xf numFmtId="171" fontId="1" fillId="0" borderId="23" pivotButton="0" quotePrefix="0" xfId="0"/>
    <xf numFmtId="2" fontId="1" fillId="0" borderId="23" pivotButton="0" quotePrefix="0" xfId="0"/>
    <xf numFmtId="0" fontId="0" fillId="0" borderId="23" pivotButton="0" quotePrefix="0" xfId="0"/>
    <xf numFmtId="171" fontId="15" fillId="0" borderId="23" pivotButton="0" quotePrefix="0" xfId="2"/>
    <xf numFmtId="171" fontId="0" fillId="0" borderId="23" pivotButton="0" quotePrefix="0" xfId="2"/>
    <xf numFmtId="171" fontId="1" fillId="0" borderId="23" pivotButton="0" quotePrefix="0" xfId="2"/>
    <xf numFmtId="171" fontId="27" fillId="0" borderId="23" pivotButton="0" quotePrefix="0" xfId="2"/>
    <xf numFmtId="0" fontId="1" fillId="0" borderId="24" pivotButton="0" quotePrefix="0" xfId="0"/>
    <xf numFmtId="171" fontId="1" fillId="0" borderId="25" pivotButton="0" quotePrefix="0" xfId="2"/>
    <xf numFmtId="171" fontId="1" fillId="0" borderId="26" pivotButton="0" quotePrefix="0" xfId="2"/>
    <xf numFmtId="2" fontId="1" fillId="0" borderId="0" pivotButton="0" quotePrefix="0" xfId="2"/>
    <xf numFmtId="2" fontId="15" fillId="0" borderId="0" pivotButton="0" quotePrefix="0" xfId="0"/>
    <xf numFmtId="171" fontId="26" fillId="0" borderId="0" pivotButton="0" quotePrefix="0" xfId="0"/>
    <xf numFmtId="171" fontId="0" fillId="0" borderId="27" pivotButton="0" quotePrefix="0" xfId="0"/>
    <xf numFmtId="171" fontId="0" fillId="0" borderId="28" pivotButton="0" quotePrefix="0" xfId="0"/>
    <xf numFmtId="0" fontId="1" fillId="0" borderId="29" pivotButton="0" quotePrefix="0" xfId="0"/>
    <xf numFmtId="175" fontId="1" fillId="0" borderId="30" pivotButton="0" quotePrefix="0" xfId="0"/>
    <xf numFmtId="0" fontId="0" fillId="0" borderId="29" pivotButton="0" quotePrefix="0" xfId="0"/>
    <xf numFmtId="2" fontId="15" fillId="0" borderId="30" pivotButton="0" quotePrefix="0" xfId="0"/>
    <xf numFmtId="171" fontId="15" fillId="0" borderId="30" pivotButton="0" quotePrefix="0" xfId="0"/>
    <xf numFmtId="171" fontId="0" fillId="0" borderId="30" pivotButton="0" quotePrefix="0" xfId="0"/>
    <xf numFmtId="0" fontId="0" fillId="0" borderId="31" pivotButton="0" quotePrefix="0" xfId="0"/>
    <xf numFmtId="171" fontId="0" fillId="0" borderId="32" pivotButton="0" quotePrefix="0" xfId="0"/>
    <xf numFmtId="171" fontId="0" fillId="0" borderId="33" pivotButton="0" quotePrefix="0" xfId="0"/>
    <xf numFmtId="0" fontId="0" fillId="0" borderId="27" pivotButton="0" quotePrefix="0" xfId="0"/>
    <xf numFmtId="0" fontId="0" fillId="0" borderId="28" pivotButton="0" quotePrefix="0" xfId="0"/>
    <xf numFmtId="171" fontId="9" fillId="0" borderId="30" pivotButton="0" quotePrefix="0" xfId="2"/>
    <xf numFmtId="171" fontId="15" fillId="0" borderId="30" pivotButton="0" quotePrefix="0" xfId="2"/>
    <xf numFmtId="0" fontId="1" fillId="0" borderId="31" pivotButton="0" quotePrefix="0" xfId="0"/>
    <xf numFmtId="2" fontId="1" fillId="0" borderId="32" pivotButton="0" quotePrefix="0" xfId="2"/>
    <xf numFmtId="2" fontId="1" fillId="0" borderId="33" pivotButton="0" quotePrefix="0" xfId="2"/>
    <xf numFmtId="171" fontId="16" fillId="0" borderId="32" pivotButton="0" quotePrefix="0" xfId="0"/>
    <xf numFmtId="171" fontId="16" fillId="0" borderId="30" pivotButton="0" quotePrefix="0" xfId="0"/>
    <xf numFmtId="171" fontId="8" fillId="0" borderId="30" pivotButton="0" quotePrefix="0" xfId="0"/>
    <xf numFmtId="171" fontId="24" fillId="0" borderId="0" pivotButton="0" quotePrefix="0" xfId="0"/>
    <xf numFmtId="171" fontId="1" fillId="0" borderId="30" pivotButton="0" quotePrefix="0" xfId="0"/>
    <xf numFmtId="176" fontId="0" fillId="0" borderId="0" pivotButton="0" quotePrefix="0" xfId="0"/>
    <xf numFmtId="177" fontId="0" fillId="0" borderId="0" pivotButton="0" quotePrefix="0" xfId="2"/>
    <xf numFmtId="2" fontId="0" fillId="0" borderId="0" pivotButton="0" quotePrefix="0" xfId="2"/>
    <xf numFmtId="177" fontId="0" fillId="0" borderId="27" pivotButton="0" quotePrefix="0" xfId="2"/>
    <xf numFmtId="2" fontId="0" fillId="0" borderId="27" pivotButton="0" quotePrefix="0" xfId="2"/>
    <xf numFmtId="2" fontId="0" fillId="0" borderId="27" pivotButton="0" quotePrefix="0" xfId="0"/>
    <xf numFmtId="171" fontId="1" fillId="0" borderId="32" pivotButton="0" quotePrefix="0" xfId="0"/>
    <xf numFmtId="171" fontId="1" fillId="0" borderId="33" pivotButton="0" quotePrefix="0" xfId="0"/>
    <xf numFmtId="0" fontId="21" fillId="0" borderId="19" pivotButton="0" quotePrefix="0" xfId="0"/>
    <xf numFmtId="0" fontId="21" fillId="0" borderId="22" pivotButton="0" quotePrefix="0" xfId="0"/>
    <xf numFmtId="0" fontId="21" fillId="0" borderId="29" pivotButton="0" quotePrefix="0" xfId="0"/>
    <xf numFmtId="17" fontId="0" fillId="0" borderId="0" pivotButton="0" quotePrefix="0" xfId="0"/>
    <xf numFmtId="171" fontId="7" fillId="0" borderId="0" pivotButton="0" quotePrefix="0" xfId="0"/>
    <xf numFmtId="0" fontId="21" fillId="0" borderId="34" pivotButton="0" quotePrefix="0" xfId="0"/>
    <xf numFmtId="171" fontId="24" fillId="0" borderId="30" pivotButton="0" quotePrefix="0" xfId="0"/>
    <xf numFmtId="0" fontId="24" fillId="0" borderId="32" pivotButton="0" quotePrefix="0" xfId="0"/>
    <xf numFmtId="1" fontId="24" fillId="0" borderId="32" pivotButton="0" quotePrefix="0" xfId="0"/>
    <xf numFmtId="0" fontId="1" fillId="0" borderId="35" pivotButton="0" quotePrefix="0" xfId="0"/>
    <xf numFmtId="171" fontId="1" fillId="0" borderId="36" pivotButton="0" quotePrefix="0" xfId="0"/>
    <xf numFmtId="171" fontId="1" fillId="0" borderId="37" pivotButton="0" quotePrefix="0" xfId="0"/>
    <xf numFmtId="2" fontId="28" fillId="0" borderId="1" pivotButton="0" quotePrefix="0" xfId="0"/>
    <xf numFmtId="177" fontId="3" fillId="0" borderId="0" applyAlignment="1" pivotButton="0" quotePrefix="0" xfId="0">
      <alignment horizontal="right" vertical="center"/>
    </xf>
    <xf numFmtId="178" fontId="0" fillId="0" borderId="0" pivotButton="0" quotePrefix="0" xfId="0"/>
    <xf numFmtId="49" fontId="0" fillId="0" borderId="0" pivotButton="0" quotePrefix="0" xfId="0"/>
    <xf numFmtId="2" fontId="0" fillId="0" borderId="0" applyAlignment="1" pivotButton="0" quotePrefix="0" xfId="0">
      <alignment horizontal="right"/>
    </xf>
    <xf numFmtId="2" fontId="0" fillId="0" borderId="0" applyAlignment="1" pivotButton="0" quotePrefix="0" xfId="2">
      <alignment horizontal="right"/>
    </xf>
    <xf numFmtId="179" fontId="0" fillId="0" borderId="0" pivotButton="0" quotePrefix="0" xfId="0"/>
    <xf numFmtId="0" fontId="29" fillId="0" borderId="0" pivotButton="0" quotePrefix="0" xfId="0"/>
    <xf numFmtId="0" fontId="21" fillId="0" borderId="38" pivotButton="0" quotePrefix="0" xfId="0"/>
    <xf numFmtId="0" fontId="0" fillId="0" borderId="39" pivotButton="0" quotePrefix="0" xfId="0"/>
    <xf numFmtId="0" fontId="0" fillId="0" borderId="41" pivotButton="0" quotePrefix="0" xfId="0"/>
    <xf numFmtId="0" fontId="1" fillId="0" borderId="41" pivotButton="0" quotePrefix="0" xfId="0"/>
    <xf numFmtId="0" fontId="1" fillId="0" borderId="0" applyAlignment="1" pivotButton="0" quotePrefix="0" xfId="0">
      <alignment horizontal="left" vertical="top"/>
    </xf>
    <xf numFmtId="0" fontId="1" fillId="0" borderId="42" applyAlignment="1" pivotButton="0" quotePrefix="0" xfId="0">
      <alignment horizontal="left" vertical="top"/>
    </xf>
    <xf numFmtId="179" fontId="0" fillId="0" borderId="41" pivotButton="0" quotePrefix="0" xfId="0"/>
    <xf numFmtId="10" fontId="0" fillId="0" borderId="0" pivotButton="0" quotePrefix="0" xfId="2"/>
    <xf numFmtId="4" fontId="0" fillId="0" borderId="0" pivotButton="0" quotePrefix="0" xfId="0"/>
    <xf numFmtId="10" fontId="0" fillId="0" borderId="42" pivotButton="0" quotePrefix="0" xfId="2"/>
    <xf numFmtId="179" fontId="0" fillId="0" borderId="43" pivotButton="0" quotePrefix="0" xfId="0"/>
    <xf numFmtId="171" fontId="0" fillId="0" borderId="44" pivotButton="0" quotePrefix="0" xfId="0"/>
    <xf numFmtId="9" fontId="0" fillId="0" borderId="44" pivotButton="0" quotePrefix="0" xfId="2"/>
    <xf numFmtId="4" fontId="0" fillId="0" borderId="44" pivotButton="0" quotePrefix="0" xfId="0"/>
    <xf numFmtId="10" fontId="0" fillId="0" borderId="45" pivotButton="0" quotePrefix="0" xfId="2"/>
    <xf numFmtId="0" fontId="1" fillId="0" borderId="46" applyAlignment="1" pivotButton="0" quotePrefix="0" xfId="0">
      <alignment horizontal="left" vertical="top"/>
    </xf>
    <xf numFmtId="171" fontId="8" fillId="9" borderId="47" pivotButton="0" quotePrefix="0" xfId="0"/>
    <xf numFmtId="0" fontId="1" fillId="0" borderId="38" applyAlignment="1" pivotButton="0" quotePrefix="0" xfId="0">
      <alignment horizontal="left" vertical="top"/>
    </xf>
    <xf numFmtId="0" fontId="29" fillId="0" borderId="40" pivotButton="0" quotePrefix="0" xfId="0"/>
    <xf numFmtId="171" fontId="0" fillId="0" borderId="42" pivotButton="0" quotePrefix="0" xfId="0"/>
    <xf numFmtId="171" fontId="0" fillId="0" borderId="45" pivotButton="0" quotePrefix="0" xfId="0"/>
    <xf numFmtId="177" fontId="24" fillId="0" borderId="0" pivotButton="0" quotePrefix="0" xfId="0"/>
    <xf numFmtId="0" fontId="0" fillId="0" borderId="5" pivotButton="0" quotePrefix="0" xfId="0"/>
    <xf numFmtId="171" fontId="0" fillId="0" borderId="5" pivotButton="0" quotePrefix="0" xfId="0"/>
    <xf numFmtId="0" fontId="0" fillId="0" borderId="0" applyAlignment="1" pivotButton="0" quotePrefix="0" xfId="0">
      <alignment horizontal="centerContinuous"/>
    </xf>
    <xf numFmtId="2" fontId="0" fillId="0" borderId="0" applyAlignment="1" pivotButton="0" quotePrefix="0" xfId="0">
      <alignment horizontal="centerContinuous"/>
    </xf>
    <xf numFmtId="172" fontId="0" fillId="0" borderId="0" pivotButton="0" quotePrefix="0" xfId="0"/>
    <xf numFmtId="172" fontId="0" fillId="9" borderId="0" pivotButton="0" quotePrefix="0" xfId="0"/>
    <xf numFmtId="0" fontId="1" fillId="0" borderId="34" pivotButton="0" quotePrefix="0" xfId="0"/>
    <xf numFmtId="0" fontId="1" fillId="0" borderId="27" pivotButton="0" quotePrefix="0" xfId="0"/>
    <xf numFmtId="0" fontId="1" fillId="0" borderId="28" pivotButton="0" quotePrefix="0" xfId="0"/>
    <xf numFmtId="9" fontId="15" fillId="0" borderId="0" pivotButton="0" quotePrefix="0" xfId="2"/>
    <xf numFmtId="9" fontId="15" fillId="0" borderId="30" pivotButton="0" quotePrefix="0" xfId="2"/>
    <xf numFmtId="0" fontId="0" fillId="0" borderId="34" pivotButton="0" quotePrefix="0" xfId="0"/>
    <xf numFmtId="10" fontId="0" fillId="0" borderId="28" pivotButton="0" quotePrefix="0" xfId="2"/>
    <xf numFmtId="2" fontId="0" fillId="0" borderId="30" pivotButton="0" quotePrefix="0" xfId="2"/>
    <xf numFmtId="171" fontId="11" fillId="0" borderId="34" pivotButton="0" quotePrefix="0" xfId="0"/>
    <xf numFmtId="170" fontId="1" fillId="0" borderId="27" pivotButton="0" quotePrefix="0" xfId="0"/>
    <xf numFmtId="170" fontId="1" fillId="0" borderId="28" pivotButton="0" quotePrefix="0" xfId="0"/>
    <xf numFmtId="170" fontId="1" fillId="0" borderId="29" pivotButton="0" quotePrefix="0" xfId="0"/>
    <xf numFmtId="172" fontId="0" fillId="0" borderId="30" pivotButton="0" quotePrefix="0" xfId="0"/>
    <xf numFmtId="170" fontId="1" fillId="0" borderId="31" pivotButton="0" quotePrefix="0" xfId="0"/>
    <xf numFmtId="172" fontId="0" fillId="0" borderId="32" pivotButton="0" quotePrefix="0" xfId="0"/>
    <xf numFmtId="172" fontId="0" fillId="0" borderId="33" pivotButton="0" quotePrefix="0" xfId="0"/>
    <xf numFmtId="10" fontId="16" fillId="0" borderId="0" pivotButton="0" quotePrefix="0" xfId="2"/>
    <xf numFmtId="2" fontId="15" fillId="0" borderId="0" pivotButton="0" quotePrefix="0" xfId="2"/>
    <xf numFmtId="10" fontId="16" fillId="0" borderId="27" pivotButton="0" quotePrefix="0" xfId="2"/>
    <xf numFmtId="0" fontId="0" fillId="0" borderId="30" pivotButton="0" quotePrefix="0" xfId="0"/>
    <xf numFmtId="0" fontId="0" fillId="0" borderId="32" pivotButton="0" quotePrefix="0" xfId="0"/>
    <xf numFmtId="10" fontId="15" fillId="0" borderId="32" pivotButton="0" quotePrefix="0" xfId="2"/>
    <xf numFmtId="0" fontId="0" fillId="0" borderId="33" pivotButton="0" quotePrefix="0" xfId="0"/>
    <xf numFmtId="0" fontId="0" fillId="0" borderId="0" applyAlignment="1" pivotButton="0" quotePrefix="0" xfId="0">
      <alignment horizontal="right"/>
    </xf>
    <xf numFmtId="171" fontId="1" fillId="9" borderId="33" pivotButton="0" quotePrefix="0" xfId="0"/>
    <xf numFmtId="171" fontId="16" fillId="0" borderId="2" pivotButton="0" quotePrefix="0" xfId="0"/>
    <xf numFmtId="171" fontId="15" fillId="0" borderId="2" pivotButton="0" quotePrefix="0" xfId="0"/>
    <xf numFmtId="0" fontId="0" fillId="0" borderId="2" pivotButton="0" quotePrefix="0" xfId="0"/>
    <xf numFmtId="171" fontId="0" fillId="0" borderId="2" pivotButton="0" quotePrefix="0" xfId="0"/>
    <xf numFmtId="49" fontId="0" fillId="0" borderId="2" pivotButton="0" quotePrefix="0" xfId="0"/>
    <xf numFmtId="175" fontId="1" fillId="0" borderId="0" applyAlignment="1" pivotButton="0" quotePrefix="0" xfId="0">
      <alignment horizontal="centerContinuous"/>
    </xf>
    <xf numFmtId="0" fontId="1" fillId="0" borderId="0" applyAlignment="1" pivotButton="0" quotePrefix="0" xfId="0">
      <alignment horizontal="center"/>
    </xf>
    <xf numFmtId="180" fontId="0" fillId="0" borderId="0" pivotButton="0" quotePrefix="0" xfId="0"/>
    <xf numFmtId="171" fontId="0" fillId="0" borderId="0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48" applyAlignment="1" pivotButton="0" quotePrefix="0" xfId="0">
      <alignment horizontal="center"/>
    </xf>
    <xf numFmtId="0" fontId="1" fillId="0" borderId="49" applyAlignment="1" pivotButton="0" quotePrefix="0" xfId="0">
      <alignment horizontal="center"/>
    </xf>
    <xf numFmtId="0" fontId="1" fillId="0" borderId="50" applyAlignment="1" pivotButton="0" quotePrefix="0" xfId="0">
      <alignment horizontal="center"/>
    </xf>
    <xf numFmtId="9" fontId="16" fillId="0" borderId="29" pivotButton="0" quotePrefix="0" xfId="0"/>
    <xf numFmtId="9" fontId="16" fillId="0" borderId="0" pivotButton="0" quotePrefix="0" xfId="2"/>
    <xf numFmtId="9" fontId="16" fillId="0" borderId="30" pivotButton="0" quotePrefix="0" xfId="2"/>
    <xf numFmtId="9" fontId="16" fillId="0" borderId="31" pivotButton="0" quotePrefix="0" xfId="0"/>
    <xf numFmtId="9" fontId="16" fillId="0" borderId="32" pivotButton="0" quotePrefix="0" xfId="0"/>
    <xf numFmtId="9" fontId="16" fillId="0" borderId="33" pivotButton="0" quotePrefix="0" xfId="0"/>
    <xf numFmtId="168" fontId="1" fillId="0" borderId="0" applyAlignment="1" pivotButton="0" quotePrefix="0" xfId="0">
      <alignment horizontal="centerContinuous"/>
    </xf>
    <xf numFmtId="171" fontId="16" fillId="0" borderId="29" applyAlignment="1" pivotButton="0" quotePrefix="0" xfId="0">
      <alignment horizontal="right"/>
    </xf>
    <xf numFmtId="171" fontId="16" fillId="0" borderId="0" applyAlignment="1" pivotButton="0" quotePrefix="0" xfId="0">
      <alignment horizontal="right"/>
    </xf>
    <xf numFmtId="171" fontId="16" fillId="0" borderId="30" applyAlignment="1" pivotButton="0" quotePrefix="0" xfId="0">
      <alignment horizontal="right"/>
    </xf>
    <xf numFmtId="171" fontId="16" fillId="0" borderId="31" applyAlignment="1" pivotButton="0" quotePrefix="0" xfId="0">
      <alignment horizontal="right"/>
    </xf>
    <xf numFmtId="171" fontId="16" fillId="0" borderId="32" applyAlignment="1" pivotButton="0" quotePrefix="0" xfId="0">
      <alignment horizontal="right"/>
    </xf>
    <xf numFmtId="171" fontId="16" fillId="0" borderId="33" applyAlignment="1" pivotButton="0" quotePrefix="0" xfId="0">
      <alignment horizontal="right"/>
    </xf>
    <xf numFmtId="171" fontId="0" fillId="0" borderId="29" applyAlignment="1" pivotButton="0" quotePrefix="0" xfId="0">
      <alignment horizontal="right"/>
    </xf>
    <xf numFmtId="171" fontId="0" fillId="0" borderId="0" applyAlignment="1" pivotButton="0" quotePrefix="0" xfId="0">
      <alignment horizontal="right"/>
    </xf>
    <xf numFmtId="171" fontId="0" fillId="0" borderId="30" applyAlignment="1" pivotButton="0" quotePrefix="0" xfId="0">
      <alignment horizontal="right"/>
    </xf>
    <xf numFmtId="171" fontId="0" fillId="0" borderId="32" applyAlignment="1" pivotButton="0" quotePrefix="0" xfId="0">
      <alignment horizontal="right"/>
    </xf>
    <xf numFmtId="171" fontId="0" fillId="0" borderId="33" applyAlignment="1" pivotButton="0" quotePrefix="0" xfId="0">
      <alignment horizontal="right"/>
    </xf>
    <xf numFmtId="171" fontId="0" fillId="0" borderId="31" applyAlignment="1" pivotButton="0" quotePrefix="0" xfId="0">
      <alignment horizontal="right"/>
    </xf>
    <xf numFmtId="181" fontId="0" fillId="0" borderId="29" pivotButton="0" quotePrefix="0" xfId="0"/>
    <xf numFmtId="181" fontId="0" fillId="0" borderId="0" pivotButton="0" quotePrefix="0" xfId="0"/>
    <xf numFmtId="181" fontId="0" fillId="0" borderId="30" pivotButton="0" quotePrefix="0" xfId="0"/>
    <xf numFmtId="181" fontId="0" fillId="0" borderId="31" pivotButton="0" quotePrefix="0" xfId="0"/>
    <xf numFmtId="181" fontId="0" fillId="0" borderId="32" pivotButton="0" quotePrefix="0" xfId="0"/>
    <xf numFmtId="181" fontId="0" fillId="0" borderId="33" pivotButton="0" quotePrefix="0" xfId="0"/>
    <xf numFmtId="0" fontId="1" fillId="0" borderId="32" applyAlignment="1" pivotButton="0" quotePrefix="0" xfId="0">
      <alignment horizontal="centerContinuous"/>
    </xf>
    <xf numFmtId="0" fontId="1" fillId="0" borderId="32" pivotButton="0" quotePrefix="0" xfId="0"/>
    <xf numFmtId="0" fontId="1" fillId="0" borderId="33" pivotButton="0" quotePrefix="0" xfId="0"/>
    <xf numFmtId="171" fontId="0" fillId="0" borderId="29" pivotButton="0" quotePrefix="0" xfId="0"/>
    <xf numFmtId="171" fontId="1" fillId="0" borderId="31" pivotButton="0" quotePrefix="0" xfId="0"/>
    <xf numFmtId="182" fontId="13" fillId="0" borderId="0" applyAlignment="1" pivotButton="0" quotePrefix="0" xfId="4">
      <alignment horizontal="center"/>
    </xf>
    <xf numFmtId="182" fontId="10" fillId="5" borderId="0" applyAlignment="1" pivotButton="0" quotePrefix="0" xfId="3">
      <alignment horizontal="center"/>
    </xf>
    <xf numFmtId="0" fontId="1" fillId="0" borderId="18" applyAlignment="1" pivotButton="0" quotePrefix="0" xfId="0">
      <alignment horizontal="center"/>
    </xf>
    <xf numFmtId="182" fontId="13" fillId="0" borderId="0" applyAlignment="1" pivotButton="0" quotePrefix="0" xfId="4">
      <alignment horizontal="center"/>
    </xf>
    <xf numFmtId="182" fontId="10" fillId="5" borderId="0" applyAlignment="1" pivotButton="0" quotePrefix="0" xfId="3">
      <alignment horizontal="center"/>
    </xf>
    <xf numFmtId="169" fontId="7" fillId="0" borderId="0" pivotButton="0" quotePrefix="0" xfId="1"/>
    <xf numFmtId="169" fontId="10" fillId="6" borderId="0" pivotButton="0" quotePrefix="0" xfId="1"/>
    <xf numFmtId="169" fontId="10" fillId="6" borderId="0" applyAlignment="1" pivotButton="0" quotePrefix="0" xfId="0">
      <alignment horizontal="center"/>
    </xf>
    <xf numFmtId="168" fontId="1" fillId="0" borderId="0" applyAlignment="1" pivotButton="0" quotePrefix="0" xfId="0">
      <alignment horizontal="centerContinuous"/>
    </xf>
    <xf numFmtId="175" fontId="1" fillId="0" borderId="0" applyAlignment="1" pivotButton="0" quotePrefix="0" xfId="0">
      <alignment horizontal="centerContinuous"/>
    </xf>
    <xf numFmtId="171" fontId="16" fillId="0" borderId="29" applyAlignment="1" pivotButton="0" quotePrefix="0" xfId="0">
      <alignment horizontal="right"/>
    </xf>
    <xf numFmtId="171" fontId="16" fillId="0" borderId="0" applyAlignment="1" pivotButton="0" quotePrefix="0" xfId="0">
      <alignment horizontal="right"/>
    </xf>
    <xf numFmtId="171" fontId="16" fillId="0" borderId="30" applyAlignment="1" pivotButton="0" quotePrefix="0" xfId="0">
      <alignment horizontal="right"/>
    </xf>
    <xf numFmtId="171" fontId="0" fillId="0" borderId="0" applyAlignment="1" pivotButton="0" quotePrefix="0" xfId="0">
      <alignment horizontal="center"/>
    </xf>
    <xf numFmtId="171" fontId="0" fillId="0" borderId="29" applyAlignment="1" pivotButton="0" quotePrefix="0" xfId="0">
      <alignment horizontal="right"/>
    </xf>
    <xf numFmtId="171" fontId="0" fillId="0" borderId="0" applyAlignment="1" pivotButton="0" quotePrefix="0" xfId="0">
      <alignment horizontal="right"/>
    </xf>
    <xf numFmtId="171" fontId="0" fillId="0" borderId="30" applyAlignment="1" pivotButton="0" quotePrefix="0" xfId="0">
      <alignment horizontal="right"/>
    </xf>
    <xf numFmtId="171" fontId="16" fillId="0" borderId="31" applyAlignment="1" pivotButton="0" quotePrefix="0" xfId="0">
      <alignment horizontal="right"/>
    </xf>
    <xf numFmtId="171" fontId="16" fillId="0" borderId="32" applyAlignment="1" pivotButton="0" quotePrefix="0" xfId="0">
      <alignment horizontal="right"/>
    </xf>
    <xf numFmtId="171" fontId="16" fillId="0" borderId="33" applyAlignment="1" pivotButton="0" quotePrefix="0" xfId="0">
      <alignment horizontal="right"/>
    </xf>
    <xf numFmtId="171" fontId="0" fillId="0" borderId="31" applyAlignment="1" pivotButton="0" quotePrefix="0" xfId="0">
      <alignment horizontal="right"/>
    </xf>
    <xf numFmtId="171" fontId="0" fillId="0" borderId="32" applyAlignment="1" pivotButton="0" quotePrefix="0" xfId="0">
      <alignment horizontal="right"/>
    </xf>
    <xf numFmtId="171" fontId="0" fillId="0" borderId="33" applyAlignment="1" pivotButton="0" quotePrefix="0" xfId="0">
      <alignment horizontal="right"/>
    </xf>
    <xf numFmtId="181" fontId="0" fillId="0" borderId="29" pivotButton="0" quotePrefix="0" xfId="0"/>
    <xf numFmtId="181" fontId="0" fillId="0" borderId="0" pivotButton="0" quotePrefix="0" xfId="0"/>
    <xf numFmtId="181" fontId="0" fillId="0" borderId="30" pivotButton="0" quotePrefix="0" xfId="0"/>
    <xf numFmtId="181" fontId="0" fillId="0" borderId="31" pivotButton="0" quotePrefix="0" xfId="0"/>
    <xf numFmtId="181" fontId="0" fillId="0" borderId="32" pivotButton="0" quotePrefix="0" xfId="0"/>
    <xf numFmtId="181" fontId="0" fillId="0" borderId="33" pivotButton="0" quotePrefix="0" xfId="0"/>
    <xf numFmtId="171" fontId="0" fillId="0" borderId="29" pivotButton="0" quotePrefix="0" xfId="0"/>
    <xf numFmtId="171" fontId="0" fillId="0" borderId="0" pivotButton="0" quotePrefix="0" xfId="0"/>
    <xf numFmtId="171" fontId="0" fillId="0" borderId="30" pivotButton="0" quotePrefix="0" xfId="0"/>
    <xf numFmtId="171" fontId="1" fillId="0" borderId="31" pivotButton="0" quotePrefix="0" xfId="0"/>
    <xf numFmtId="171" fontId="1" fillId="0" borderId="32" pivotButton="0" quotePrefix="0" xfId="0"/>
    <xf numFmtId="171" fontId="1" fillId="0" borderId="33" pivotButton="0" quotePrefix="0" xfId="0"/>
    <xf numFmtId="171" fontId="1" fillId="0" borderId="0" pivotButton="0" quotePrefix="0" xfId="0"/>
    <xf numFmtId="170" fontId="16" fillId="0" borderId="0" pivotButton="0" quotePrefix="0" xfId="2"/>
    <xf numFmtId="168" fontId="1" fillId="0" borderId="0" pivotButton="0" quotePrefix="0" xfId="0"/>
    <xf numFmtId="175" fontId="1" fillId="0" borderId="0" pivotButton="0" quotePrefix="0" xfId="0"/>
    <xf numFmtId="171" fontId="15" fillId="0" borderId="0" pivotButton="0" quotePrefix="0" xfId="0"/>
    <xf numFmtId="171" fontId="24" fillId="0" borderId="0" pivotButton="0" quotePrefix="0" xfId="0"/>
    <xf numFmtId="171" fontId="1" fillId="0" borderId="17" pivotButton="0" quotePrefix="0" xfId="0"/>
    <xf numFmtId="170" fontId="0" fillId="0" borderId="0" pivotButton="0" quotePrefix="0" xfId="2"/>
    <xf numFmtId="171" fontId="16" fillId="0" borderId="0" pivotButton="0" quotePrefix="0" xfId="0"/>
    <xf numFmtId="171" fontId="8" fillId="0" borderId="17" pivotButton="0" quotePrefix="0" xfId="0"/>
    <xf numFmtId="170" fontId="0" fillId="0" borderId="0" pivotButton="0" quotePrefix="0" xfId="0"/>
    <xf numFmtId="171" fontId="7" fillId="0" borderId="0" pivotButton="0" quotePrefix="0" xfId="0"/>
    <xf numFmtId="171" fontId="0" fillId="0" borderId="17" pivotButton="0" quotePrefix="0" xfId="0"/>
    <xf numFmtId="171" fontId="1" fillId="0" borderId="4" pivotButton="0" quotePrefix="0" xfId="0"/>
    <xf numFmtId="178" fontId="0" fillId="0" borderId="0" pivotButton="0" quotePrefix="0" xfId="0"/>
    <xf numFmtId="180" fontId="0" fillId="0" borderId="0" pivotButton="0" quotePrefix="0" xfId="0"/>
    <xf numFmtId="171" fontId="14" fillId="0" borderId="0" pivotButton="0" quotePrefix="0" xfId="0"/>
    <xf numFmtId="171" fontId="16" fillId="0" borderId="2" pivotButton="0" quotePrefix="0" xfId="0"/>
    <xf numFmtId="171" fontId="15" fillId="0" borderId="2" pivotButton="0" quotePrefix="0" xfId="0"/>
    <xf numFmtId="171" fontId="0" fillId="0" borderId="2" pivotButton="0" quotePrefix="0" xfId="0"/>
    <xf numFmtId="175" fontId="1" fillId="0" borderId="23" pivotButton="0" quotePrefix="0" xfId="0"/>
    <xf numFmtId="168" fontId="8" fillId="0" borderId="0" pivotButton="0" quotePrefix="0" xfId="0"/>
    <xf numFmtId="171" fontId="15" fillId="0" borderId="23" pivotButton="0" quotePrefix="0" xfId="0"/>
    <xf numFmtId="171" fontId="0" fillId="0" borderId="23" pivotButton="0" quotePrefix="0" xfId="0"/>
    <xf numFmtId="171" fontId="1" fillId="0" borderId="23" pivotButton="0" quotePrefix="0" xfId="0"/>
    <xf numFmtId="177" fontId="24" fillId="0" borderId="0" pivotButton="0" quotePrefix="0" xfId="0"/>
    <xf numFmtId="171" fontId="16" fillId="0" borderId="0" pivotButton="0" quotePrefix="0" xfId="2"/>
    <xf numFmtId="171" fontId="15" fillId="0" borderId="0" pivotButton="0" quotePrefix="0" xfId="2"/>
    <xf numFmtId="171" fontId="15" fillId="0" borderId="23" pivotButton="0" quotePrefix="0" xfId="2"/>
    <xf numFmtId="171" fontId="0" fillId="0" borderId="0" pivotButton="0" quotePrefix="0" xfId="2"/>
    <xf numFmtId="171" fontId="0" fillId="0" borderId="23" pivotButton="0" quotePrefix="0" xfId="2"/>
    <xf numFmtId="171" fontId="1" fillId="0" borderId="0" pivotButton="0" quotePrefix="0" xfId="2"/>
    <xf numFmtId="171" fontId="1" fillId="0" borderId="23" pivotButton="0" quotePrefix="0" xfId="2"/>
    <xf numFmtId="171" fontId="27" fillId="0" borderId="0" pivotButton="0" quotePrefix="0" xfId="2"/>
    <xf numFmtId="171" fontId="27" fillId="0" borderId="23" pivotButton="0" quotePrefix="0" xfId="2"/>
    <xf numFmtId="171" fontId="1" fillId="0" borderId="25" pivotButton="0" quotePrefix="0" xfId="2"/>
    <xf numFmtId="171" fontId="1" fillId="0" borderId="26" pivotButton="0" quotePrefix="0" xfId="2"/>
    <xf numFmtId="175" fontId="1" fillId="0" borderId="30" pivotButton="0" quotePrefix="0" xfId="0"/>
    <xf numFmtId="171" fontId="9" fillId="0" borderId="0" pivotButton="0" quotePrefix="0" xfId="2"/>
    <xf numFmtId="171" fontId="9" fillId="0" borderId="30" pivotButton="0" quotePrefix="0" xfId="2"/>
    <xf numFmtId="171" fontId="26" fillId="0" borderId="0" pivotButton="0" quotePrefix="0" xfId="2"/>
    <xf numFmtId="171" fontId="15" fillId="0" borderId="30" pivotButton="0" quotePrefix="0" xfId="2"/>
    <xf numFmtId="171" fontId="0" fillId="0" borderId="27" pivotButton="0" quotePrefix="0" xfId="0"/>
    <xf numFmtId="171" fontId="0" fillId="0" borderId="28" pivotButton="0" quotePrefix="0" xfId="0"/>
    <xf numFmtId="171" fontId="15" fillId="0" borderId="30" pivotButton="0" quotePrefix="0" xfId="0"/>
    <xf numFmtId="171" fontId="26" fillId="0" borderId="0" pivotButton="0" quotePrefix="0" xfId="0"/>
    <xf numFmtId="171" fontId="0" fillId="0" borderId="32" pivotButton="0" quotePrefix="0" xfId="0"/>
    <xf numFmtId="171" fontId="0" fillId="0" borderId="33" pivotButton="0" quotePrefix="0" xfId="0"/>
    <xf numFmtId="0" fontId="0" fillId="0" borderId="7" pivotButton="0" quotePrefix="0" xfId="0"/>
    <xf numFmtId="171" fontId="16" fillId="0" borderId="32" pivotButton="0" quotePrefix="0" xfId="0"/>
    <xf numFmtId="171" fontId="16" fillId="0" borderId="30" pivotButton="0" quotePrefix="0" xfId="0"/>
    <xf numFmtId="167" fontId="6" fillId="0" borderId="0" applyAlignment="1" pivotButton="0" quotePrefix="0" xfId="1">
      <alignment horizontal="right"/>
    </xf>
    <xf numFmtId="171" fontId="8" fillId="0" borderId="0" pivotButton="0" quotePrefix="0" xfId="0"/>
    <xf numFmtId="171" fontId="8" fillId="0" borderId="30" pivotButton="0" quotePrefix="0" xfId="0"/>
    <xf numFmtId="171" fontId="1" fillId="0" borderId="36" pivotButton="0" quotePrefix="0" xfId="0"/>
    <xf numFmtId="171" fontId="24" fillId="0" borderId="30" pivotButton="0" quotePrefix="0" xfId="0"/>
    <xf numFmtId="177" fontId="0" fillId="0" borderId="27" pivotButton="0" quotePrefix="0" xfId="2"/>
    <xf numFmtId="173" fontId="0" fillId="0" borderId="0" pivotButton="0" quotePrefix="0" xfId="0"/>
    <xf numFmtId="176" fontId="0" fillId="0" borderId="0" pivotButton="0" quotePrefix="0" xfId="0"/>
    <xf numFmtId="171" fontId="1" fillId="0" borderId="30" pivotButton="0" quotePrefix="0" xfId="0"/>
    <xf numFmtId="177" fontId="0" fillId="0" borderId="0" pivotButton="0" quotePrefix="0" xfId="2"/>
    <xf numFmtId="171" fontId="1" fillId="0" borderId="37" pivotButton="0" quotePrefix="0" xfId="0"/>
    <xf numFmtId="171" fontId="0" fillId="0" borderId="5" pivotButton="0" quotePrefix="0" xfId="0"/>
    <xf numFmtId="171" fontId="11" fillId="0" borderId="34" pivotButton="0" quotePrefix="0" xfId="0"/>
    <xf numFmtId="170" fontId="1" fillId="0" borderId="27" pivotButton="0" quotePrefix="0" xfId="0"/>
    <xf numFmtId="170" fontId="1" fillId="0" borderId="28" pivotButton="0" quotePrefix="0" xfId="0"/>
    <xf numFmtId="170" fontId="1" fillId="0" borderId="29" pivotButton="0" quotePrefix="0" xfId="0"/>
    <xf numFmtId="172" fontId="0" fillId="0" borderId="0" pivotButton="0" quotePrefix="0" xfId="0"/>
    <xf numFmtId="172" fontId="0" fillId="0" borderId="30" pivotButton="0" quotePrefix="0" xfId="0"/>
    <xf numFmtId="172" fontId="0" fillId="9" borderId="0" pivotButton="0" quotePrefix="0" xfId="0"/>
    <xf numFmtId="170" fontId="1" fillId="0" borderId="31" pivotButton="0" quotePrefix="0" xfId="0"/>
    <xf numFmtId="172" fontId="0" fillId="0" borderId="32" pivotButton="0" quotePrefix="0" xfId="0"/>
    <xf numFmtId="172" fontId="0" fillId="0" borderId="33" pivotButton="0" quotePrefix="0" xfId="0"/>
    <xf numFmtId="171" fontId="1" fillId="9" borderId="33" pivotButton="0" quotePrefix="0" xfId="0"/>
    <xf numFmtId="171" fontId="8" fillId="9" borderId="47" pivotButton="0" quotePrefix="0" xfId="0"/>
    <xf numFmtId="179" fontId="0" fillId="0" borderId="41" pivotButton="0" quotePrefix="0" xfId="0"/>
    <xf numFmtId="171" fontId="0" fillId="0" borderId="42" pivotButton="0" quotePrefix="0" xfId="0"/>
    <xf numFmtId="179" fontId="0" fillId="0" borderId="43" pivotButton="0" quotePrefix="0" xfId="0"/>
    <xf numFmtId="171" fontId="0" fillId="0" borderId="45" pivotButton="0" quotePrefix="0" xfId="0"/>
    <xf numFmtId="179" fontId="0" fillId="0" borderId="0" pivotButton="0" quotePrefix="0" xfId="0"/>
    <xf numFmtId="171" fontId="0" fillId="0" borderId="44" pivotButton="0" quotePrefix="0" xfId="0"/>
    <xf numFmtId="168" fontId="1" fillId="0" borderId="1" applyAlignment="1" pivotButton="0" quotePrefix="0" xfId="0">
      <alignment horizontal="right"/>
    </xf>
    <xf numFmtId="167" fontId="1" fillId="0" borderId="1" applyAlignment="1" pivotButton="0" quotePrefix="0" xfId="1">
      <alignment horizontal="right"/>
    </xf>
    <xf numFmtId="167" fontId="6" fillId="0" borderId="1" applyAlignment="1" pivotButton="0" quotePrefix="0" xfId="1">
      <alignment horizontal="right"/>
    </xf>
    <xf numFmtId="167" fontId="6" fillId="0" borderId="1" pivotButton="0" quotePrefix="0" xfId="1"/>
    <xf numFmtId="167" fontId="0" fillId="0" borderId="1" applyAlignment="1" pivotButton="0" quotePrefix="0" xfId="1">
      <alignment horizontal="right"/>
    </xf>
    <xf numFmtId="167" fontId="0" fillId="0" borderId="0" pivotButton="0" quotePrefix="0" xfId="0"/>
    <xf numFmtId="177" fontId="3" fillId="0" borderId="0" applyAlignment="1" pivotButton="0" quotePrefix="0" xfId="0">
      <alignment horizontal="right" vertical="center"/>
    </xf>
    <xf numFmtId="172" fontId="16" fillId="0" borderId="0" pivotButton="0" quotePrefix="0" xfId="0"/>
    <xf numFmtId="168" fontId="1" fillId="0" borderId="1" pivotButton="0" quotePrefix="0" xfId="0"/>
    <xf numFmtId="0" fontId="30" fillId="0" borderId="0" pivotButton="0" quotePrefix="0" xfId="0"/>
    <xf numFmtId="0" fontId="31" fillId="0" borderId="0" pivotButton="0" quotePrefix="0" xfId="0"/>
    <xf numFmtId="0" fontId="31" fillId="0" borderId="52" applyAlignment="1" pivotButton="0" quotePrefix="0" xfId="0">
      <alignment horizontal="center"/>
    </xf>
    <xf numFmtId="0" fontId="32" fillId="10" borderId="0" pivotButton="0" quotePrefix="0" xfId="0"/>
    <xf numFmtId="0" fontId="0" fillId="10" borderId="0" pivotButton="0" quotePrefix="0" xfId="0"/>
    <xf numFmtId="183" fontId="0" fillId="0" borderId="0" pivotButton="0" quotePrefix="0" xfId="0"/>
    <xf numFmtId="184" fontId="0" fillId="0" borderId="0" pivotButton="0" quotePrefix="0" xfId="0"/>
  </cellXfs>
  <cellStyles count="5">
    <cellStyle name="Normal" xfId="0" builtinId="0"/>
    <cellStyle name="Comma" xfId="1" builtinId="3"/>
    <cellStyle name="Percent" xfId="2" builtinId="5"/>
    <cellStyle name="Accent6" xfId="3" builtinId="49"/>
    <cellStyle name="Hyperlink" xfId="4" builtinId="8"/>
  </cellStyles>
  <dxfs count="1">
    <dxf>
      <font>
        <b val="1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Shivam</author>
  </authors>
  <commentList>
    <comment ref="L16" authorId="0" shapeId="0">
      <text>
        <t xml:space="preserve">Estimated as 6.5% of 2903 of opening cash
</t>
      </text>
    </comment>
  </commentList>
</comments>
</file>

<file path=xl/comments/comment2.xml><?xml version="1.0" encoding="utf-8"?>
<comments xmlns="http://schemas.openxmlformats.org/spreadsheetml/2006/main">
  <authors>
    <author>Shivam</author>
  </authors>
  <commentList>
    <comment ref="M38" authorId="0" shapeId="0">
      <text>
        <t>calculated by subtracting the total current and Fixed assests from the total of liabilities and equities</t>
      </text>
    </comment>
    <comment ref="N38" authorId="0" shapeId="0">
      <text>
        <t>calculated by subtracting the total current and Fixed assests from the total of liabilities and equities</t>
      </text>
    </comment>
    <comment ref="O38" authorId="0" shapeId="0">
      <text>
        <t>calculated by subtracting the total current and Fixed assests from the total of liabilities and equities</t>
      </text>
    </comment>
    <comment ref="P38" authorId="0" shapeId="0">
      <text>
        <t/>
      </text>
    </comment>
  </commentList>
</comments>
</file>

<file path=xl/comments/comment3.xml><?xml version="1.0" encoding="utf-8"?>
<comments xmlns="http://schemas.openxmlformats.org/spreadsheetml/2006/main">
  <authors>
    <author>Shivam</author>
  </authors>
  <commentList>
    <comment ref="G8" authorId="0" shapeId="0">
      <text>
        <t xml:space="preserve">calculated
</t>
      </text>
    </comment>
    <comment ref="G52" authorId="0" shapeId="0">
      <text>
        <t xml:space="preserve">Estimated 2.2 % of Sales </t>
      </text>
    </comment>
    <comment ref="G66" authorId="0" shapeId="0">
      <text>
        <t>Shivam:
estimated and decline is due to sale of fixed asset</t>
      </text>
    </comment>
    <comment ref="G78" authorId="0" shapeId="0">
      <text>
        <t>Estimated as the clsoing was 76 and information is not sufficient</t>
      </text>
    </comment>
  </commentList>
</comments>
</file>

<file path=xl/comments/comment4.xml><?xml version="1.0" encoding="utf-8"?>
<comments xmlns="http://schemas.openxmlformats.org/spreadsheetml/2006/main">
  <authors>
    <author>Shivam</author>
  </authors>
  <commentList>
    <comment ref="G44" authorId="0" shapeId="0">
      <text>
        <t>Shivam:
Estimated as a percentage of median OF LAST 4 YEARS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topLeftCell="A13" zoomScale="104" workbookViewId="0">
      <selection activeCell="K17" sqref="K17"/>
    </sheetView>
  </sheetViews>
  <sheetFormatPr baseColWidth="8" defaultColWidth="8.77734375" defaultRowHeight="14.4"/>
  <cols>
    <col width="27.6640625" bestFit="1" customWidth="1" style="51" min="1" max="1"/>
    <col width="13.44140625" bestFit="1" customWidth="1" style="51" min="2" max="11"/>
    <col width="8.77734375" customWidth="1" style="51" min="12" max="16384"/>
  </cols>
  <sheetData>
    <row r="1" customFormat="1" s="50">
      <c r="A1" s="50" t="inlineStr">
        <is>
          <t>COMPANY NAME</t>
        </is>
      </c>
      <c r="B1" s="50" t="inlineStr">
        <is>
          <t>UNITED SPIRITS LTD</t>
        </is>
      </c>
      <c r="E1" s="316">
        <f>IF(B2&lt;&gt;B3, "A NEW VERSION OF THE WORKSHEET IS AVAILABLE", "")</f>
        <v/>
      </c>
    </row>
    <row r="2">
      <c r="A2" s="50" t="inlineStr">
        <is>
          <t>LATEST VERSION</t>
        </is>
      </c>
      <c r="B2" s="51" t="n">
        <v>2.1</v>
      </c>
      <c r="E2" s="317" t="inlineStr">
        <is>
          <t>PLEASE DO NOT MAKE ANY CHANGES TO THIS SHEET</t>
        </is>
      </c>
    </row>
    <row r="3">
      <c r="A3" s="50" t="inlineStr">
        <is>
          <t>CURRENT VERSION</t>
        </is>
      </c>
      <c r="B3" s="51" t="n">
        <v>2.1</v>
      </c>
    </row>
    <row r="4">
      <c r="A4" s="50" t="n"/>
    </row>
    <row r="5">
      <c r="A5" s="50" t="inlineStr">
        <is>
          <t>META</t>
        </is>
      </c>
    </row>
    <row r="6">
      <c r="A6" s="51" t="inlineStr">
        <is>
          <t>Number of shares</t>
        </is>
      </c>
      <c r="B6" s="51">
        <f>IF(B9&gt;0, B9/B8, 0)</f>
        <v/>
      </c>
    </row>
    <row r="7">
      <c r="A7" s="51" t="inlineStr">
        <is>
          <t>Face Value</t>
        </is>
      </c>
      <c r="B7" t="n">
        <v>2</v>
      </c>
    </row>
    <row r="8">
      <c r="A8" s="51" t="inlineStr">
        <is>
          <t>Current Price</t>
        </is>
      </c>
      <c r="B8" t="n">
        <v>1320.7</v>
      </c>
    </row>
    <row r="9">
      <c r="A9" s="51" t="inlineStr">
        <is>
          <t>Market Capitalization</t>
        </is>
      </c>
      <c r="B9" t="n">
        <v>96061.23</v>
      </c>
    </row>
    <row r="15">
      <c r="A15" s="50" t="inlineStr">
        <is>
          <t>PROFIT &amp; LOSS</t>
        </is>
      </c>
    </row>
    <row r="16" customFormat="1" s="318">
      <c r="A16" s="319" t="inlineStr">
        <is>
          <t>Report Date</t>
        </is>
      </c>
      <c r="B16" s="320" t="n">
        <v>42825</v>
      </c>
      <c r="C16" s="320" t="n">
        <v>43190</v>
      </c>
      <c r="D16" s="320" t="n">
        <v>43555</v>
      </c>
      <c r="E16" s="320" t="n">
        <v>43921</v>
      </c>
      <c r="F16" s="320" t="n">
        <v>44286</v>
      </c>
      <c r="G16" s="320" t="n">
        <v>44651</v>
      </c>
      <c r="H16" s="320" t="n">
        <v>45016</v>
      </c>
      <c r="I16" s="320" t="n">
        <v>45382</v>
      </c>
      <c r="J16" s="320" t="n">
        <v>45747</v>
      </c>
      <c r="K16" s="320" t="n">
        <v>46112</v>
      </c>
    </row>
    <row r="17" customFormat="1" s="55">
      <c r="A17" s="55" t="inlineStr">
        <is>
          <t>Sales</t>
        </is>
      </c>
      <c r="B17" t="n">
        <v>8817.5</v>
      </c>
      <c r="C17" t="n">
        <v>8590.6</v>
      </c>
      <c r="D17" t="n">
        <v>9340.799999999999</v>
      </c>
      <c r="E17" t="n">
        <v>9325.4</v>
      </c>
      <c r="F17" t="n">
        <v>8131.3</v>
      </c>
      <c r="G17" t="n">
        <v>9712.4</v>
      </c>
      <c r="H17" t="n">
        <v>10612</v>
      </c>
      <c r="I17" t="n">
        <v>11321</v>
      </c>
      <c r="J17" t="n">
        <v>12069</v>
      </c>
      <c r="K17" t="n">
        <v>12467</v>
      </c>
    </row>
    <row r="18" customFormat="1" s="55">
      <c r="A18" s="51" t="inlineStr">
        <is>
          <t>Raw Material Cost</t>
        </is>
      </c>
      <c r="B18" t="n">
        <v>3053.5</v>
      </c>
      <c r="C18" t="n">
        <v>2679</v>
      </c>
      <c r="D18" t="n">
        <v>2940.4</v>
      </c>
      <c r="E18" t="n">
        <v>3435.1</v>
      </c>
      <c r="F18" t="n">
        <v>2812.9</v>
      </c>
      <c r="G18" t="n">
        <v>3519.6</v>
      </c>
      <c r="H18" t="n">
        <v>4361</v>
      </c>
      <c r="I18" t="n">
        <v>3937</v>
      </c>
      <c r="J18" t="n">
        <v>4179</v>
      </c>
      <c r="K18" t="n">
        <v>6815</v>
      </c>
    </row>
    <row r="19" customFormat="1" s="55">
      <c r="A19" s="51" t="inlineStr">
        <is>
          <t>Change in Inventory</t>
        </is>
      </c>
      <c r="B19" t="n">
        <v>56.8</v>
      </c>
      <c r="C19" t="n">
        <v>-14.1</v>
      </c>
      <c r="D19" t="n">
        <v>65.7</v>
      </c>
      <c r="E19" t="n">
        <v>98.40000000000001</v>
      </c>
      <c r="F19" t="n">
        <v>133.1</v>
      </c>
      <c r="G19" t="n">
        <v>-82.7</v>
      </c>
      <c r="H19" t="n">
        <v>-137</v>
      </c>
      <c r="I19" t="n">
        <v>119</v>
      </c>
      <c r="J19" t="n">
        <v>90</v>
      </c>
      <c r="K19" t="n">
        <v>-141</v>
      </c>
    </row>
    <row r="20" customFormat="1" s="55">
      <c r="A20" s="51" t="inlineStr">
        <is>
          <t>Power and Fuel</t>
        </is>
      </c>
      <c r="B20" t="n">
        <v>34.8</v>
      </c>
      <c r="C20" t="n">
        <v>27.9</v>
      </c>
      <c r="D20" t="n">
        <v>24.9</v>
      </c>
      <c r="E20" t="n">
        <v>24.5</v>
      </c>
      <c r="F20" t="n">
        <v>20</v>
      </c>
      <c r="G20" t="n">
        <v>18.2</v>
      </c>
      <c r="H20" t="n">
        <v>17</v>
      </c>
      <c r="I20" t="n">
        <v>18</v>
      </c>
      <c r="J20" t="n">
        <v>19</v>
      </c>
    </row>
    <row r="21" customFormat="1" s="55">
      <c r="A21" s="51" t="inlineStr">
        <is>
          <t>Other Mfr. Exp</t>
        </is>
      </c>
      <c r="B21" t="n">
        <v>2006.2</v>
      </c>
      <c r="C21" t="n">
        <v>1864.5</v>
      </c>
      <c r="D21" t="n">
        <v>1935.4</v>
      </c>
      <c r="E21" t="n">
        <v>1812</v>
      </c>
      <c r="F21" t="n">
        <v>1841.5</v>
      </c>
      <c r="G21" t="n">
        <v>2225.8</v>
      </c>
      <c r="H21" t="n">
        <v>2262</v>
      </c>
      <c r="I21" t="n">
        <v>2468</v>
      </c>
      <c r="J21" t="n">
        <v>2572</v>
      </c>
    </row>
    <row r="22" customFormat="1" s="55">
      <c r="A22" s="51" t="inlineStr">
        <is>
          <t>Employee Cost</t>
        </is>
      </c>
      <c r="B22" t="n">
        <v>688.9</v>
      </c>
      <c r="C22" t="n">
        <v>681.2</v>
      </c>
      <c r="D22" t="n">
        <v>690.2</v>
      </c>
      <c r="E22" t="n">
        <v>530.4</v>
      </c>
      <c r="F22" t="n">
        <v>557</v>
      </c>
      <c r="G22" t="n">
        <v>653.9</v>
      </c>
      <c r="H22" t="n">
        <v>613</v>
      </c>
      <c r="I22" t="n">
        <v>549</v>
      </c>
      <c r="J22" t="n">
        <v>614</v>
      </c>
      <c r="K22" t="n">
        <v>635</v>
      </c>
    </row>
    <row r="23" customFormat="1" s="55">
      <c r="A23" s="51" t="inlineStr">
        <is>
          <t>Selling and admin</t>
        </is>
      </c>
      <c r="B23" t="n">
        <v>1862.2</v>
      </c>
      <c r="C23" t="n">
        <v>1963.8</v>
      </c>
      <c r="D23" t="n">
        <v>2106.3</v>
      </c>
      <c r="E23" t="n">
        <v>1875</v>
      </c>
      <c r="F23" t="n">
        <v>1625.7</v>
      </c>
      <c r="G23" t="n">
        <v>1710</v>
      </c>
      <c r="H23" t="n">
        <v>2024</v>
      </c>
      <c r="I23" t="n">
        <v>1966</v>
      </c>
      <c r="J23" t="n">
        <v>2135</v>
      </c>
      <c r="K23" t="n">
        <v>1295</v>
      </c>
    </row>
    <row r="24" customFormat="1" s="55">
      <c r="A24" s="51" t="inlineStr">
        <is>
          <t>Other Expenses</t>
        </is>
      </c>
      <c r="B24" t="n">
        <v>123.7</v>
      </c>
      <c r="C24" t="n">
        <v>179.1</v>
      </c>
      <c r="D24" t="n">
        <v>184.1</v>
      </c>
      <c r="E24" t="n">
        <v>-21</v>
      </c>
      <c r="F24" t="n">
        <v>89.7</v>
      </c>
      <c r="G24" t="n">
        <v>72.40000000000001</v>
      </c>
      <c r="H24" t="n">
        <v>55</v>
      </c>
      <c r="I24" t="n">
        <v>264</v>
      </c>
      <c r="J24" t="n">
        <v>224</v>
      </c>
      <c r="K24" t="n">
        <v>1584</v>
      </c>
    </row>
    <row r="25" customFormat="1" s="55">
      <c r="A25" s="55" t="inlineStr">
        <is>
          <t>Other Income</t>
        </is>
      </c>
      <c r="B25" t="n">
        <v>-265</v>
      </c>
      <c r="C25" t="n">
        <v>172.4</v>
      </c>
      <c r="D25" t="n">
        <v>69.8</v>
      </c>
      <c r="E25" t="n">
        <v>86.59999999999999</v>
      </c>
      <c r="F25" t="n">
        <v>-24.7</v>
      </c>
      <c r="G25" t="n">
        <v>-116.8</v>
      </c>
      <c r="H25" t="n">
        <v>249</v>
      </c>
      <c r="I25" t="n">
        <v>208</v>
      </c>
      <c r="J25" t="n">
        <v>271</v>
      </c>
      <c r="K25" t="n">
        <v>516</v>
      </c>
    </row>
    <row r="26" customFormat="1" s="55">
      <c r="A26" s="55" t="inlineStr">
        <is>
          <t>Depreciation</t>
        </is>
      </c>
      <c r="B26" t="n">
        <v>188.6</v>
      </c>
      <c r="C26" t="n">
        <v>192.3</v>
      </c>
      <c r="D26" t="n">
        <v>214.7</v>
      </c>
      <c r="E26" t="n">
        <v>285.3</v>
      </c>
      <c r="F26" t="n">
        <v>299.1</v>
      </c>
      <c r="G26" t="n">
        <v>303.8</v>
      </c>
      <c r="H26" t="n">
        <v>283</v>
      </c>
      <c r="I26" t="n">
        <v>275</v>
      </c>
      <c r="J26" t="n">
        <v>283</v>
      </c>
      <c r="K26" t="n">
        <v>289</v>
      </c>
    </row>
    <row r="27" customFormat="1" s="55">
      <c r="A27" s="55" t="inlineStr">
        <is>
          <t>Interest</t>
        </is>
      </c>
      <c r="B27" t="n">
        <v>375.1</v>
      </c>
      <c r="C27" t="n">
        <v>277.5</v>
      </c>
      <c r="D27" t="n">
        <v>237.2</v>
      </c>
      <c r="E27" t="n">
        <v>212</v>
      </c>
      <c r="F27" t="n">
        <v>187.6</v>
      </c>
      <c r="G27" t="n">
        <v>88</v>
      </c>
      <c r="H27" t="n">
        <v>104</v>
      </c>
      <c r="I27" t="n">
        <v>76</v>
      </c>
      <c r="J27" t="n">
        <v>89</v>
      </c>
      <c r="K27" t="n">
        <v>158</v>
      </c>
    </row>
    <row r="28" customFormat="1" s="55">
      <c r="A28" s="55" t="inlineStr">
        <is>
          <t>Profit before tax</t>
        </is>
      </c>
      <c r="B28" t="n">
        <v>162.7</v>
      </c>
      <c r="C28" t="n">
        <v>911.8</v>
      </c>
      <c r="D28" t="n">
        <v>1011.7</v>
      </c>
      <c r="E28" t="n">
        <v>1160.3</v>
      </c>
      <c r="F28" t="n">
        <v>540</v>
      </c>
      <c r="G28" t="n">
        <v>1086.6</v>
      </c>
      <c r="H28" t="n">
        <v>1279</v>
      </c>
      <c r="I28" t="n">
        <v>1857</v>
      </c>
      <c r="J28" t="n">
        <v>2135</v>
      </c>
      <c r="K28" t="n">
        <v>2348</v>
      </c>
    </row>
    <row r="29" customFormat="1" s="55">
      <c r="A29" s="55" t="inlineStr">
        <is>
          <t>Tax</t>
        </is>
      </c>
      <c r="B29" t="n">
        <v>69.7</v>
      </c>
      <c r="C29" t="n">
        <v>259.9</v>
      </c>
      <c r="D29" t="n">
        <v>328.1</v>
      </c>
      <c r="E29" t="n">
        <v>539.7</v>
      </c>
      <c r="F29" t="n">
        <v>177.9</v>
      </c>
      <c r="G29" t="n">
        <v>276</v>
      </c>
      <c r="H29" t="n">
        <v>153</v>
      </c>
      <c r="I29" t="n">
        <v>449</v>
      </c>
      <c r="J29" t="n">
        <v>553</v>
      </c>
      <c r="K29" t="n">
        <v>510</v>
      </c>
    </row>
    <row r="30" customFormat="1" s="55">
      <c r="A30" s="55" t="inlineStr">
        <is>
          <t>Net profit</t>
        </is>
      </c>
      <c r="B30" t="n">
        <v>100.1</v>
      </c>
      <c r="C30" t="n">
        <v>633.8</v>
      </c>
      <c r="D30" t="n">
        <v>700.2</v>
      </c>
      <c r="E30" t="n">
        <v>658.9</v>
      </c>
      <c r="F30" t="n">
        <v>383.6</v>
      </c>
      <c r="G30" t="n">
        <v>828.6</v>
      </c>
      <c r="H30" t="n">
        <v>1137</v>
      </c>
      <c r="I30" t="n">
        <v>1408</v>
      </c>
      <c r="J30" t="n">
        <v>1582</v>
      </c>
      <c r="K30" t="n">
        <v>1838</v>
      </c>
    </row>
    <row r="31" customFormat="1" s="55">
      <c r="A31" s="55" t="inlineStr">
        <is>
          <t>Dividend Amount</t>
        </is>
      </c>
      <c r="I31" t="n">
        <v>652.5</v>
      </c>
      <c r="J31" t="n">
        <v>870</v>
      </c>
      <c r="K31" t="n">
        <v>797.5</v>
      </c>
    </row>
    <row r="32" customFormat="1" s="55"/>
    <row r="33">
      <c r="A33" s="55" t="n"/>
      <c r="E33" s="51">
        <f>SUM(E18:E24)+E26+E27</f>
        <v/>
      </c>
    </row>
    <row r="34">
      <c r="A34" s="55" t="n"/>
    </row>
    <row r="35">
      <c r="A35" s="55" t="n"/>
    </row>
    <row r="36">
      <c r="A36" s="55" t="n"/>
    </row>
    <row r="37">
      <c r="A37" s="55" t="n"/>
    </row>
    <row r="38">
      <c r="A38" s="55" t="n"/>
    </row>
    <row r="39">
      <c r="A39" s="55" t="n"/>
    </row>
    <row r="40">
      <c r="A40" s="50" t="inlineStr">
        <is>
          <t>Quarters</t>
        </is>
      </c>
    </row>
    <row r="41" customFormat="1" s="318">
      <c r="A41" s="319" t="inlineStr">
        <is>
          <t>Report Date</t>
        </is>
      </c>
      <c r="B41" s="320" t="n">
        <v>45291</v>
      </c>
      <c r="C41" s="320" t="n">
        <v>45382</v>
      </c>
      <c r="D41" s="320" t="n">
        <v>45473</v>
      </c>
      <c r="E41" s="320" t="n">
        <v>45565</v>
      </c>
      <c r="F41" s="320" t="n">
        <v>45657</v>
      </c>
      <c r="G41" s="320" t="n">
        <v>45747</v>
      </c>
      <c r="H41" s="320" t="n">
        <v>45838</v>
      </c>
      <c r="I41" s="320" t="n">
        <v>45930</v>
      </c>
      <c r="J41" s="320" t="n">
        <v>46022</v>
      </c>
      <c r="K41" s="320" t="n">
        <v>46112</v>
      </c>
    </row>
    <row r="42" customFormat="1" s="55">
      <c r="A42" s="55" t="inlineStr">
        <is>
          <t>Sales</t>
        </is>
      </c>
      <c r="B42" t="n">
        <v>3002</v>
      </c>
      <c r="C42" t="n">
        <v>2783</v>
      </c>
      <c r="D42" t="n">
        <v>2761</v>
      </c>
      <c r="E42" t="n">
        <v>2844</v>
      </c>
      <c r="F42" t="n">
        <v>3433</v>
      </c>
      <c r="G42" t="n">
        <v>2946</v>
      </c>
      <c r="H42" t="n">
        <v>3021</v>
      </c>
      <c r="I42" t="n">
        <v>3173</v>
      </c>
      <c r="J42" t="n">
        <v>3691</v>
      </c>
      <c r="K42" t="n">
        <v>3054</v>
      </c>
    </row>
    <row r="43" customFormat="1" s="55">
      <c r="A43" s="55" t="inlineStr">
        <is>
          <t>Expenses</t>
        </is>
      </c>
      <c r="B43" t="n">
        <v>2516</v>
      </c>
      <c r="C43" t="n">
        <v>2449</v>
      </c>
      <c r="D43" t="n">
        <v>2049</v>
      </c>
      <c r="E43" t="n">
        <v>2344</v>
      </c>
      <c r="F43" t="n">
        <v>2868</v>
      </c>
      <c r="G43" t="n">
        <v>2437</v>
      </c>
      <c r="H43" t="n">
        <v>2383</v>
      </c>
      <c r="I43" t="n">
        <v>2514</v>
      </c>
      <c r="J43" t="n">
        <v>3077</v>
      </c>
      <c r="K43" t="n">
        <v>2461</v>
      </c>
    </row>
    <row r="44" customFormat="1" s="55">
      <c r="A44" s="55" t="inlineStr">
        <is>
          <t>Other Income</t>
        </is>
      </c>
      <c r="B44" t="n">
        <v>52</v>
      </c>
      <c r="C44" t="n">
        <v>80</v>
      </c>
      <c r="D44" t="n">
        <v>35</v>
      </c>
      <c r="E44" t="n">
        <v>54</v>
      </c>
      <c r="F44" t="n">
        <v>7</v>
      </c>
      <c r="G44" t="n">
        <v>136</v>
      </c>
      <c r="H44" t="n">
        <v>58</v>
      </c>
      <c r="I44" t="n">
        <v>51</v>
      </c>
      <c r="J44" t="n">
        <v>28</v>
      </c>
      <c r="K44" t="n">
        <v>226</v>
      </c>
    </row>
    <row r="45" customFormat="1" s="55">
      <c r="A45" s="55" t="inlineStr">
        <is>
          <t>Depreciation</t>
        </is>
      </c>
      <c r="B45" t="n">
        <v>63</v>
      </c>
      <c r="C45" t="n">
        <v>73</v>
      </c>
      <c r="D45" t="n">
        <v>72</v>
      </c>
      <c r="E45" t="n">
        <v>69</v>
      </c>
      <c r="F45" t="n">
        <v>72</v>
      </c>
      <c r="G45" t="n">
        <v>70</v>
      </c>
      <c r="H45" t="n">
        <v>76</v>
      </c>
      <c r="I45" t="n">
        <v>65</v>
      </c>
      <c r="J45" t="n">
        <v>80</v>
      </c>
      <c r="K45" t="n">
        <v>76</v>
      </c>
    </row>
    <row r="46" customFormat="1" s="55">
      <c r="A46" s="55" t="inlineStr">
        <is>
          <t>Interest</t>
        </is>
      </c>
      <c r="B46" t="n">
        <v>16</v>
      </c>
      <c r="C46" t="n">
        <v>29</v>
      </c>
      <c r="D46" t="n">
        <v>22</v>
      </c>
      <c r="E46" t="n">
        <v>25</v>
      </c>
      <c r="F46" t="n">
        <v>20</v>
      </c>
      <c r="G46" t="n">
        <v>22</v>
      </c>
      <c r="H46" t="n">
        <v>49</v>
      </c>
      <c r="I46" t="n">
        <v>21</v>
      </c>
      <c r="J46" t="n">
        <v>19</v>
      </c>
      <c r="K46" t="n">
        <v>69</v>
      </c>
    </row>
    <row r="47" customFormat="1" s="55">
      <c r="A47" s="55" t="inlineStr">
        <is>
          <t>Profit before tax</t>
        </is>
      </c>
      <c r="B47" t="n">
        <v>459</v>
      </c>
      <c r="C47" t="n">
        <v>312</v>
      </c>
      <c r="D47" t="n">
        <v>653</v>
      </c>
      <c r="E47" t="n">
        <v>460</v>
      </c>
      <c r="F47" t="n">
        <v>480</v>
      </c>
      <c r="G47" t="n">
        <v>553</v>
      </c>
      <c r="H47" t="n">
        <v>571</v>
      </c>
      <c r="I47" t="n">
        <v>624</v>
      </c>
      <c r="J47" t="n">
        <v>543</v>
      </c>
      <c r="K47" t="n">
        <v>674</v>
      </c>
    </row>
    <row r="48" customFormat="1" s="55">
      <c r="A48" s="55" t="inlineStr">
        <is>
          <t>Tax</t>
        </is>
      </c>
      <c r="B48" t="n">
        <v>109</v>
      </c>
      <c r="C48" t="n">
        <v>71</v>
      </c>
      <c r="D48" t="n">
        <v>168</v>
      </c>
      <c r="E48" t="n">
        <v>119</v>
      </c>
      <c r="F48" t="n">
        <v>145</v>
      </c>
      <c r="G48" t="n">
        <v>132</v>
      </c>
      <c r="H48" t="n">
        <v>154</v>
      </c>
      <c r="I48" t="n">
        <v>160</v>
      </c>
      <c r="J48" t="n">
        <v>125</v>
      </c>
      <c r="K48" t="n">
        <v>135</v>
      </c>
    </row>
    <row r="49" customFormat="1" s="55">
      <c r="A49" s="55" t="inlineStr">
        <is>
          <t>Net profit</t>
        </is>
      </c>
      <c r="B49" t="n">
        <v>350</v>
      </c>
      <c r="C49" t="n">
        <v>241</v>
      </c>
      <c r="D49" t="n">
        <v>485</v>
      </c>
      <c r="E49" t="n">
        <v>341</v>
      </c>
      <c r="F49" t="n">
        <v>335</v>
      </c>
      <c r="G49" t="n">
        <v>421</v>
      </c>
      <c r="H49" t="n">
        <v>417</v>
      </c>
      <c r="I49" t="n">
        <v>464</v>
      </c>
      <c r="J49" t="n">
        <v>418</v>
      </c>
      <c r="K49" t="n">
        <v>539</v>
      </c>
    </row>
    <row r="50">
      <c r="A50" s="55" t="inlineStr">
        <is>
          <t>Operating Profit</t>
        </is>
      </c>
      <c r="B50" t="n">
        <v>486</v>
      </c>
      <c r="C50" t="n">
        <v>334</v>
      </c>
      <c r="D50" t="n">
        <v>712</v>
      </c>
      <c r="E50" t="n">
        <v>500</v>
      </c>
      <c r="F50" t="n">
        <v>565</v>
      </c>
      <c r="G50" t="n">
        <v>509</v>
      </c>
      <c r="H50" t="n">
        <v>638</v>
      </c>
      <c r="I50" t="n">
        <v>659</v>
      </c>
      <c r="J50" t="n">
        <v>614</v>
      </c>
      <c r="K50" t="n">
        <v>593</v>
      </c>
    </row>
    <row r="51">
      <c r="A51" s="55" t="n"/>
    </row>
    <row r="52">
      <c r="A52" s="55" t="n"/>
    </row>
    <row r="53">
      <c r="A53" s="55" t="n"/>
    </row>
    <row r="54">
      <c r="A54" s="55" t="n"/>
    </row>
    <row r="55">
      <c r="A55" s="50" t="inlineStr">
        <is>
          <t>BALANCE SHEET</t>
        </is>
      </c>
    </row>
    <row r="56" customFormat="1" s="318">
      <c r="A56" s="319" t="inlineStr">
        <is>
          <t>Report Date</t>
        </is>
      </c>
      <c r="B56" s="320" t="n">
        <v>42825</v>
      </c>
      <c r="C56" s="320" t="n">
        <v>43190</v>
      </c>
      <c r="D56" s="320" t="n">
        <v>43555</v>
      </c>
      <c r="E56" s="320" t="n">
        <v>43921</v>
      </c>
      <c r="F56" s="320" t="n">
        <v>44286</v>
      </c>
      <c r="G56" s="320" t="n">
        <v>44651</v>
      </c>
      <c r="H56" s="320" t="n">
        <v>45016</v>
      </c>
      <c r="I56" s="320" t="n">
        <v>45382</v>
      </c>
      <c r="J56" s="320" t="n">
        <v>45747</v>
      </c>
      <c r="K56" s="320" t="n">
        <v>46112</v>
      </c>
    </row>
    <row r="57">
      <c r="A57" s="55" t="inlineStr">
        <is>
          <t>Equity Share Capital</t>
        </is>
      </c>
      <c r="B57" t="n">
        <v>145.3</v>
      </c>
      <c r="C57" t="n">
        <v>145.3</v>
      </c>
      <c r="D57" t="n">
        <v>145.3</v>
      </c>
      <c r="E57" t="n">
        <v>145.3</v>
      </c>
      <c r="F57" t="n">
        <v>145.3</v>
      </c>
      <c r="G57" t="n">
        <v>145.3</v>
      </c>
      <c r="H57" t="n">
        <v>145</v>
      </c>
      <c r="I57" t="n">
        <v>145</v>
      </c>
      <c r="J57" t="n">
        <v>145</v>
      </c>
      <c r="K57" t="n">
        <v>145</v>
      </c>
    </row>
    <row r="58">
      <c r="A58" s="55" t="inlineStr">
        <is>
          <t>Reserves</t>
        </is>
      </c>
      <c r="B58" t="n">
        <v>1640.3</v>
      </c>
      <c r="C58" t="n">
        <v>2273.8</v>
      </c>
      <c r="D58" t="n">
        <v>2945</v>
      </c>
      <c r="E58" t="n">
        <v>3582.7</v>
      </c>
      <c r="F58" t="n">
        <v>3974.5</v>
      </c>
      <c r="G58" t="n">
        <v>4808.4</v>
      </c>
      <c r="H58" t="n">
        <v>5854</v>
      </c>
      <c r="I58" t="n">
        <v>6976</v>
      </c>
      <c r="J58" t="n">
        <v>7959</v>
      </c>
      <c r="K58" t="n">
        <v>8808</v>
      </c>
    </row>
    <row r="59">
      <c r="A59" s="55" t="inlineStr">
        <is>
          <t>Borrowings</t>
        </is>
      </c>
      <c r="B59" t="n">
        <v>4143.6</v>
      </c>
      <c r="C59" t="n">
        <v>3421.1</v>
      </c>
      <c r="D59" t="n">
        <v>2883.2</v>
      </c>
      <c r="E59" t="n">
        <v>2570.2</v>
      </c>
      <c r="F59" t="n">
        <v>1036.8</v>
      </c>
      <c r="G59" t="n">
        <v>605.4</v>
      </c>
      <c r="H59" t="n">
        <v>183</v>
      </c>
      <c r="I59" t="n">
        <v>265</v>
      </c>
      <c r="J59" t="n">
        <v>480</v>
      </c>
      <c r="K59" t="n">
        <v>413</v>
      </c>
    </row>
    <row r="60">
      <c r="A60" s="55" t="inlineStr">
        <is>
          <t>Other Liabilities</t>
        </is>
      </c>
      <c r="B60" t="n">
        <v>2966.7</v>
      </c>
      <c r="C60" t="n">
        <v>3085.6</v>
      </c>
      <c r="D60" t="n">
        <v>3135.4</v>
      </c>
      <c r="E60" t="n">
        <v>2545.5</v>
      </c>
      <c r="F60" t="n">
        <v>3354.3</v>
      </c>
      <c r="G60" t="n">
        <v>3303.9</v>
      </c>
      <c r="H60" t="n">
        <v>3534</v>
      </c>
      <c r="I60" t="n">
        <v>3790</v>
      </c>
      <c r="J60" t="n">
        <v>4592</v>
      </c>
      <c r="K60" t="n">
        <v>5103</v>
      </c>
    </row>
    <row r="61" customFormat="1" s="50">
      <c r="A61" s="50" t="inlineStr">
        <is>
          <t>Total</t>
        </is>
      </c>
      <c r="B61" t="n">
        <v>8895.9</v>
      </c>
      <c r="C61" t="n">
        <v>8925.799999999999</v>
      </c>
      <c r="D61" t="n">
        <v>9108.9</v>
      </c>
      <c r="E61" t="n">
        <v>8843.700000000001</v>
      </c>
      <c r="F61" t="n">
        <v>8510.9</v>
      </c>
      <c r="G61" t="n">
        <v>8863</v>
      </c>
      <c r="H61" t="n">
        <v>9716</v>
      </c>
      <c r="I61" t="n">
        <v>11176</v>
      </c>
      <c r="J61" t="n">
        <v>13176</v>
      </c>
      <c r="K61" t="n">
        <v>14469</v>
      </c>
    </row>
    <row r="62">
      <c r="A62" s="55" t="inlineStr">
        <is>
          <t>Net Block</t>
        </is>
      </c>
      <c r="B62" t="n">
        <v>1916.6</v>
      </c>
      <c r="C62" t="n">
        <v>1791.3</v>
      </c>
      <c r="D62" t="n">
        <v>1841.2</v>
      </c>
      <c r="E62" t="n">
        <v>1955.9</v>
      </c>
      <c r="F62" t="n">
        <v>1893.1</v>
      </c>
      <c r="G62" t="n">
        <v>1854.8</v>
      </c>
      <c r="H62" t="n">
        <v>1534</v>
      </c>
      <c r="I62" t="n">
        <v>1560</v>
      </c>
      <c r="J62" t="n">
        <v>1712</v>
      </c>
      <c r="K62" t="n">
        <v>1404</v>
      </c>
    </row>
    <row r="63">
      <c r="A63" s="55" t="inlineStr">
        <is>
          <t>Capital Work in Progress</t>
        </is>
      </c>
      <c r="B63" t="n">
        <v>199.3</v>
      </c>
      <c r="C63" t="n">
        <v>101.8</v>
      </c>
      <c r="D63" t="n">
        <v>118.4</v>
      </c>
      <c r="E63" t="n">
        <v>121.1</v>
      </c>
      <c r="F63" t="n">
        <v>96.7</v>
      </c>
      <c r="G63" t="n">
        <v>95.7</v>
      </c>
      <c r="H63" t="n">
        <v>83</v>
      </c>
      <c r="I63" t="n">
        <v>37</v>
      </c>
      <c r="J63" t="n">
        <v>72</v>
      </c>
      <c r="K63" t="n">
        <v>77</v>
      </c>
    </row>
    <row r="64">
      <c r="A64" s="55" t="inlineStr">
        <is>
          <t>Investments</t>
        </is>
      </c>
      <c r="B64" t="n">
        <v>0.1</v>
      </c>
      <c r="C64" t="n">
        <v>0.1</v>
      </c>
      <c r="D64" t="n">
        <v>25.2</v>
      </c>
      <c r="E64" t="n">
        <v>21.9</v>
      </c>
      <c r="G64" t="n">
        <v>222.1</v>
      </c>
      <c r="H64" t="n">
        <v>286</v>
      </c>
      <c r="I64" t="n">
        <v>645</v>
      </c>
      <c r="J64" t="n">
        <v>923</v>
      </c>
      <c r="K64" t="n">
        <v>1171</v>
      </c>
    </row>
    <row r="65">
      <c r="A65" s="55" t="inlineStr">
        <is>
          <t>Other Assets</t>
        </is>
      </c>
      <c r="B65" t="n">
        <v>6779.9</v>
      </c>
      <c r="C65" t="n">
        <v>7032.6</v>
      </c>
      <c r="D65" t="n">
        <v>7124.1</v>
      </c>
      <c r="E65" t="n">
        <v>6744.8</v>
      </c>
      <c r="F65" t="n">
        <v>6521.1</v>
      </c>
      <c r="G65" t="n">
        <v>6690.4</v>
      </c>
      <c r="H65" t="n">
        <v>7813</v>
      </c>
      <c r="I65" t="n">
        <v>8934</v>
      </c>
      <c r="J65" t="n">
        <v>10469</v>
      </c>
      <c r="K65" t="n">
        <v>11817</v>
      </c>
    </row>
    <row r="66" customFormat="1" s="50">
      <c r="A66" s="50" t="inlineStr">
        <is>
          <t>Total</t>
        </is>
      </c>
      <c r="B66" t="n">
        <v>8895.9</v>
      </c>
      <c r="C66" t="n">
        <v>8925.799999999999</v>
      </c>
      <c r="D66" t="n">
        <v>9108.9</v>
      </c>
      <c r="E66" t="n">
        <v>8843.700000000001</v>
      </c>
      <c r="F66" t="n">
        <v>8510.9</v>
      </c>
      <c r="G66" t="n">
        <v>8863</v>
      </c>
      <c r="H66" t="n">
        <v>9716</v>
      </c>
      <c r="I66" t="n">
        <v>11176</v>
      </c>
      <c r="J66" t="n">
        <v>13176</v>
      </c>
      <c r="K66" t="n">
        <v>14469</v>
      </c>
    </row>
    <row r="67" customFormat="1" s="55">
      <c r="A67" s="55" t="inlineStr">
        <is>
          <t>Receivables</t>
        </is>
      </c>
      <c r="B67" t="n">
        <v>2953.4</v>
      </c>
      <c r="C67" t="n">
        <v>2711.2</v>
      </c>
      <c r="D67" t="n">
        <v>2542.5</v>
      </c>
      <c r="E67" t="n">
        <v>2283.5</v>
      </c>
      <c r="F67" t="n">
        <v>2187.2</v>
      </c>
      <c r="G67" t="n">
        <v>2373.6</v>
      </c>
      <c r="H67" t="n">
        <v>2434</v>
      </c>
      <c r="I67" t="n">
        <v>3056</v>
      </c>
      <c r="J67" t="n">
        <v>3410</v>
      </c>
      <c r="K67" t="n">
        <v>3609</v>
      </c>
    </row>
    <row r="68">
      <c r="A68" s="55" t="inlineStr">
        <is>
          <t>Inventory</t>
        </is>
      </c>
      <c r="B68" t="n">
        <v>1927.6</v>
      </c>
      <c r="C68" t="n">
        <v>1919.7</v>
      </c>
      <c r="D68" t="n">
        <v>1934.3</v>
      </c>
      <c r="E68" t="n">
        <v>1927.5</v>
      </c>
      <c r="F68" t="n">
        <v>2051.9</v>
      </c>
      <c r="G68" t="n">
        <v>2156.7</v>
      </c>
      <c r="H68" t="n">
        <v>2230</v>
      </c>
      <c r="I68" t="n">
        <v>2063</v>
      </c>
      <c r="J68" t="n">
        <v>2305</v>
      </c>
      <c r="K68" t="n">
        <v>2668</v>
      </c>
    </row>
    <row r="69">
      <c r="A69" s="51" t="inlineStr">
        <is>
          <t>Cash &amp; Bank</t>
        </is>
      </c>
      <c r="B69" t="n">
        <v>87.2</v>
      </c>
      <c r="C69" t="n">
        <v>256</v>
      </c>
      <c r="D69" t="n">
        <v>282.9</v>
      </c>
      <c r="E69" t="n">
        <v>73.5</v>
      </c>
      <c r="F69" t="n">
        <v>83.90000000000001</v>
      </c>
      <c r="G69" t="n">
        <v>60.3</v>
      </c>
      <c r="H69" t="n">
        <v>883</v>
      </c>
      <c r="I69" t="n">
        <v>1269</v>
      </c>
      <c r="J69" t="n">
        <v>2030</v>
      </c>
      <c r="K69" t="n">
        <v>1977</v>
      </c>
    </row>
    <row r="70">
      <c r="A70" s="51" t="inlineStr">
        <is>
          <t>No. of Equity Shares</t>
        </is>
      </c>
      <c r="B70" t="n">
        <v>145327743</v>
      </c>
      <c r="C70" t="n">
        <v>145327743</v>
      </c>
      <c r="D70" t="n">
        <v>726638715</v>
      </c>
      <c r="E70" t="n">
        <v>726638715</v>
      </c>
      <c r="F70" t="n">
        <v>726638715</v>
      </c>
      <c r="G70" t="n">
        <v>726638715</v>
      </c>
      <c r="H70" t="n">
        <v>727350853</v>
      </c>
      <c r="I70" t="n">
        <v>727350853</v>
      </c>
      <c r="J70" t="n">
        <v>727350853</v>
      </c>
    </row>
    <row r="71">
      <c r="A71" s="51" t="inlineStr">
        <is>
          <t>New Bonus Shares</t>
        </is>
      </c>
    </row>
    <row r="72">
      <c r="A72" s="51" t="inlineStr">
        <is>
          <t>Face value</t>
        </is>
      </c>
      <c r="B72" t="n">
        <v>10</v>
      </c>
      <c r="C72" t="n">
        <v>10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55" t="n"/>
    </row>
    <row r="75">
      <c r="A75" s="55" t="n"/>
    </row>
    <row r="76">
      <c r="A76" s="55" t="n"/>
    </row>
    <row r="77">
      <c r="A77" s="55" t="n"/>
    </row>
    <row r="78">
      <c r="A78" s="55" t="n"/>
    </row>
    <row r="79">
      <c r="A79" s="55" t="n"/>
    </row>
    <row r="80">
      <c r="A80" s="50" t="inlineStr">
        <is>
          <t>CASH FLOW:</t>
        </is>
      </c>
    </row>
    <row r="81" customFormat="1" s="318">
      <c r="A81" s="319" t="inlineStr">
        <is>
          <t>Report Date</t>
        </is>
      </c>
      <c r="B81" s="320" t="n">
        <v>42825</v>
      </c>
      <c r="C81" s="320" t="n">
        <v>43190</v>
      </c>
      <c r="D81" s="320" t="n">
        <v>43555</v>
      </c>
      <c r="E81" s="320" t="n">
        <v>43921</v>
      </c>
      <c r="F81" s="320" t="n">
        <v>44286</v>
      </c>
      <c r="G81" s="320" t="n">
        <v>44651</v>
      </c>
      <c r="H81" s="320" t="n">
        <v>45016</v>
      </c>
      <c r="I81" s="320" t="n">
        <v>45382</v>
      </c>
      <c r="J81" s="320" t="n">
        <v>45747</v>
      </c>
      <c r="K81" s="320" t="n">
        <v>46112</v>
      </c>
    </row>
    <row r="82" customFormat="1" s="50">
      <c r="A82" s="55" t="inlineStr">
        <is>
          <t>Cash from Operating Activity</t>
        </is>
      </c>
      <c r="B82" t="n">
        <v>646.8</v>
      </c>
      <c r="C82" t="n">
        <v>925.1</v>
      </c>
      <c r="D82" t="n">
        <v>948.3</v>
      </c>
      <c r="E82" t="n">
        <v>783.2</v>
      </c>
      <c r="F82" t="n">
        <v>1817.7</v>
      </c>
      <c r="G82" t="n">
        <v>977.4</v>
      </c>
      <c r="H82" t="n">
        <v>615</v>
      </c>
      <c r="I82" t="n">
        <v>1118</v>
      </c>
      <c r="J82" t="n">
        <v>1947</v>
      </c>
      <c r="K82" t="n">
        <v>1459</v>
      </c>
    </row>
    <row r="83" customFormat="1" s="55">
      <c r="A83" s="55" t="inlineStr">
        <is>
          <t>Cash from Investing Activity</t>
        </is>
      </c>
      <c r="B83" t="n">
        <v>-227.4</v>
      </c>
      <c r="C83" t="n">
        <v>104.4</v>
      </c>
      <c r="D83" t="n">
        <v>-65.5</v>
      </c>
      <c r="E83" t="n">
        <v>-193.6</v>
      </c>
      <c r="F83" t="n">
        <v>-99.2</v>
      </c>
      <c r="G83" t="n">
        <v>-312.7</v>
      </c>
      <c r="H83" t="n">
        <v>-55</v>
      </c>
      <c r="I83" t="n">
        <v>226</v>
      </c>
      <c r="J83" t="n">
        <v>-1114</v>
      </c>
      <c r="K83" t="n">
        <v>-428</v>
      </c>
    </row>
    <row r="84" customFormat="1" s="55">
      <c r="A84" s="55" t="inlineStr">
        <is>
          <t>Cash from Financing Activity</t>
        </is>
      </c>
      <c r="B84" t="n">
        <v>-474.9</v>
      </c>
      <c r="C84" t="n">
        <v>-966.1</v>
      </c>
      <c r="D84" t="n">
        <v>-808.3</v>
      </c>
      <c r="E84" t="n">
        <v>-739.9</v>
      </c>
      <c r="F84" t="n">
        <v>-1706.8</v>
      </c>
      <c r="G84" t="n">
        <v>-688</v>
      </c>
      <c r="H84" t="n">
        <v>-500</v>
      </c>
      <c r="I84" t="n">
        <v>-407</v>
      </c>
      <c r="J84" t="n">
        <v>-557</v>
      </c>
      <c r="K84" t="n">
        <v>-1450</v>
      </c>
    </row>
    <row r="85" customFormat="1" s="50">
      <c r="A85" s="55" t="inlineStr">
        <is>
          <t>Net Cash Flow</t>
        </is>
      </c>
      <c r="B85" t="n">
        <v>-55.5</v>
      </c>
      <c r="C85" t="n">
        <v>63.4</v>
      </c>
      <c r="D85" t="n">
        <v>74.5</v>
      </c>
      <c r="E85" t="n">
        <v>-150.3</v>
      </c>
      <c r="F85" t="n">
        <v>11.7</v>
      </c>
      <c r="G85" t="n">
        <v>-23.3</v>
      </c>
      <c r="H85" t="n">
        <v>60</v>
      </c>
      <c r="I85" t="n">
        <v>937</v>
      </c>
      <c r="J85" t="n">
        <v>276</v>
      </c>
      <c r="K85" t="n">
        <v>-419</v>
      </c>
    </row>
    <row r="86">
      <c r="A86" s="55" t="n"/>
    </row>
    <row r="87">
      <c r="A87" s="55" t="n"/>
    </row>
    <row r="88">
      <c r="A88" s="55" t="n"/>
    </row>
    <row r="89">
      <c r="A89" s="55" t="n"/>
    </row>
    <row r="90" customFormat="1" s="50">
      <c r="A90" s="50" t="inlineStr">
        <is>
          <t>PRICE:</t>
        </is>
      </c>
      <c r="B90" t="n">
        <v>434.94</v>
      </c>
      <c r="C90" t="n">
        <v>625.9299999999999</v>
      </c>
      <c r="D90" t="n">
        <v>553.9</v>
      </c>
      <c r="E90" t="n">
        <v>484.6</v>
      </c>
      <c r="F90" t="n">
        <v>556.35</v>
      </c>
      <c r="G90" t="n">
        <v>888.35</v>
      </c>
      <c r="H90" t="n">
        <v>756.3</v>
      </c>
      <c r="I90" t="n">
        <v>1134.25</v>
      </c>
      <c r="J90" t="n">
        <v>1401.3</v>
      </c>
      <c r="K90" t="n">
        <v>1218.8</v>
      </c>
    </row>
    <row r="92" customFormat="1" s="50">
      <c r="A92" s="50" t="inlineStr">
        <is>
          <t>DERIVED:</t>
        </is>
      </c>
    </row>
    <row r="93">
      <c r="A93" s="51" t="inlineStr">
        <is>
          <t>Adjusted Equity Shares in Cr</t>
        </is>
      </c>
      <c r="B93" s="51" t="n">
        <v>72.66</v>
      </c>
      <c r="C93" s="51" t="n">
        <v>72.66</v>
      </c>
      <c r="D93" s="51" t="n">
        <v>72.66</v>
      </c>
      <c r="E93" s="51" t="n">
        <v>72.66</v>
      </c>
      <c r="F93" s="51" t="n">
        <v>72.66</v>
      </c>
      <c r="G93" s="51" t="n">
        <v>72.66</v>
      </c>
      <c r="H93" s="51" t="n">
        <v>72.73999999999999</v>
      </c>
      <c r="I93" s="51" t="n">
        <v>72.73999999999999</v>
      </c>
      <c r="J93" s="51" t="n">
        <v>72.73999999999999</v>
      </c>
      <c r="K93" s="51" t="n">
        <v>72.73999999999999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T29"/>
  <sheetViews>
    <sheetView showGridLines="0" zoomScale="104" zoomScaleNormal="174" workbookViewId="0">
      <selection activeCell="M16" sqref="M16"/>
    </sheetView>
  </sheetViews>
  <sheetFormatPr baseColWidth="8" defaultRowHeight="14.4"/>
  <cols>
    <col width="23.6640625" customWidth="1" min="3" max="3"/>
    <col width="5.6640625" customWidth="1" min="4" max="6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2">
      <c r="C2" t="inlineStr">
        <is>
          <t>United Spirits Economic Scenarios</t>
        </is>
      </c>
    </row>
    <row r="3" ht="14.4" customHeight="1"/>
    <row r="4" ht="14.4" customHeight="1">
      <c r="C4" t="inlineStr">
        <is>
          <t>Scenario Switch</t>
        </is>
      </c>
      <c r="D4" t="n">
        <v>1</v>
      </c>
      <c r="H4" s="7" t="n"/>
      <c r="I4" s="7" t="n"/>
      <c r="J4" s="7" t="n"/>
      <c r="K4" s="7" t="n"/>
      <c r="L4" s="7" t="n"/>
      <c r="M4" s="7" t="n"/>
      <c r="N4" s="7" t="n"/>
      <c r="O4" s="7" t="n"/>
    </row>
    <row r="5" ht="14.4" customHeight="1"/>
    <row r="6" ht="14.4" customHeight="1"/>
    <row r="7" ht="14.4" customHeight="1">
      <c r="I7" s="89" t="n"/>
    </row>
    <row r="8">
      <c r="C8" t="inlineStr">
        <is>
          <t>Sales Growth % Scenarios</t>
        </is>
      </c>
      <c r="H8" s="75" t="n">
        <v>2027</v>
      </c>
      <c r="I8" s="75">
        <f>H8+1</f>
        <v/>
      </c>
      <c r="J8" s="75">
        <f>I8+1</f>
        <v/>
      </c>
      <c r="K8" s="75">
        <f>J8+1</f>
        <v/>
      </c>
      <c r="L8" s="75">
        <f>K8+1</f>
        <v/>
      </c>
      <c r="M8" s="75">
        <f>L8+1</f>
        <v/>
      </c>
      <c r="N8" s="75">
        <f>M8+1</f>
        <v/>
      </c>
      <c r="O8" s="75">
        <f>N8+1</f>
        <v/>
      </c>
    </row>
    <row r="10">
      <c r="C10" s="73" t="inlineStr">
        <is>
          <t>Sales Growth %</t>
        </is>
      </c>
      <c r="D10" s="74" t="n"/>
      <c r="E10" s="74" t="n"/>
      <c r="F10" s="74" t="n"/>
      <c r="G10" s="74" t="n"/>
      <c r="H10" s="76">
        <f>CHOOSE($D$4,H12,H13,H14)</f>
        <v/>
      </c>
      <c r="I10" s="76">
        <f>CHOOSE($D$4,I12,I13,I14)</f>
        <v/>
      </c>
      <c r="J10" s="76">
        <f>CHOOSE($D$4,J12,J13,J14)</f>
        <v/>
      </c>
      <c r="K10" s="77">
        <f>CHOOSE($D$4,K12,K13,K14)</f>
        <v/>
      </c>
      <c r="L10" s="77">
        <f>CHOOSE($D$4,L12,L13,L14)</f>
        <v/>
      </c>
      <c r="M10" s="77">
        <f>CHOOSE($D$4,M12,M13,M14)</f>
        <v/>
      </c>
      <c r="N10" s="77">
        <f>CHOOSE($D$4,N12,N13,N14)</f>
        <v/>
      </c>
      <c r="O10" s="77">
        <f>CHOOSE($D$4,O12,O13,O14)</f>
        <v/>
      </c>
      <c r="Q10" s="57" t="n"/>
      <c r="R10" s="57" t="n"/>
      <c r="S10" s="57" t="n"/>
      <c r="T10" s="57" t="n"/>
    </row>
    <row r="11"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  <c r="O11" s="56" t="n"/>
    </row>
    <row r="12">
      <c r="C12" s="79" t="inlineStr">
        <is>
          <t>Base</t>
        </is>
      </c>
      <c r="D12" s="80" t="n"/>
      <c r="E12" s="80" t="n"/>
      <c r="F12" s="80" t="n"/>
      <c r="G12" s="80" t="n"/>
      <c r="H12" s="81" t="n">
        <v>0.09</v>
      </c>
      <c r="I12" s="81" t="n">
        <v>0.08</v>
      </c>
      <c r="J12" s="81" t="n">
        <v>0.07000000000000001</v>
      </c>
      <c r="K12" s="82" t="n">
        <v>0.07000000000000001</v>
      </c>
      <c r="L12" s="82" t="n">
        <v>0.07000000000000001</v>
      </c>
      <c r="M12" s="82" t="n">
        <v>0.065</v>
      </c>
      <c r="N12" s="82" t="n">
        <v>0.06</v>
      </c>
      <c r="O12" s="82" t="n">
        <v>0.06</v>
      </c>
      <c r="Q12" s="57" t="n"/>
      <c r="R12" s="57" t="n"/>
      <c r="S12" s="57" t="n"/>
      <c r="T12" s="57" t="n"/>
    </row>
    <row r="13">
      <c r="C13" s="83" t="inlineStr">
        <is>
          <t>Best</t>
        </is>
      </c>
      <c r="H13" s="78" t="n">
        <v>0.11</v>
      </c>
      <c r="I13" s="78" t="n">
        <v>0.1</v>
      </c>
      <c r="J13" s="78" t="n">
        <v>0.09</v>
      </c>
      <c r="K13" s="84" t="n">
        <v>0.08</v>
      </c>
      <c r="L13" s="84" t="n">
        <v>0.08</v>
      </c>
      <c r="M13" s="84" t="n">
        <v>0.07000000000000001</v>
      </c>
      <c r="N13" s="84" t="n">
        <v>0.07000000000000001</v>
      </c>
      <c r="O13" s="84" t="n">
        <v>0.06</v>
      </c>
    </row>
    <row r="14">
      <c r="C14" s="85" t="inlineStr">
        <is>
          <t>Bear</t>
        </is>
      </c>
      <c r="D14" s="86" t="n"/>
      <c r="E14" s="86" t="n"/>
      <c r="F14" s="86" t="n"/>
      <c r="G14" s="86" t="n"/>
      <c r="H14" s="87" t="n">
        <v>0.06</v>
      </c>
      <c r="I14" s="87" t="n">
        <v>0.06</v>
      </c>
      <c r="J14" s="87" t="n">
        <v>0.05</v>
      </c>
      <c r="K14" s="88" t="n">
        <v>0.05</v>
      </c>
      <c r="L14" s="88" t="n">
        <v>0.05</v>
      </c>
      <c r="M14" s="88" t="n">
        <v>0.045</v>
      </c>
      <c r="N14" s="88" t="n">
        <v>0.04</v>
      </c>
      <c r="O14" s="88" t="n">
        <v>0.04</v>
      </c>
    </row>
    <row r="17">
      <c r="C17" t="inlineStr">
        <is>
          <t>Gross Profit Margin % Scenarios</t>
        </is>
      </c>
      <c r="H17" s="75" t="n">
        <v>2027</v>
      </c>
      <c r="I17" s="75">
        <f>H17+1</f>
        <v/>
      </c>
      <c r="J17" s="75">
        <f>I17+1</f>
        <v/>
      </c>
      <c r="K17" s="75">
        <f>J17+1</f>
        <v/>
      </c>
      <c r="L17" s="75">
        <f>K17+1</f>
        <v/>
      </c>
      <c r="M17" s="75">
        <f>L17+1</f>
        <v/>
      </c>
      <c r="N17" s="75">
        <f>M17+1</f>
        <v/>
      </c>
      <c r="O17" s="75">
        <f>N17+1</f>
        <v/>
      </c>
    </row>
    <row r="19">
      <c r="C19" s="73" t="inlineStr">
        <is>
          <t>Gross Profi Margin %</t>
        </is>
      </c>
      <c r="D19" s="74" t="n"/>
      <c r="E19" s="74" t="n"/>
      <c r="F19" s="74" t="n"/>
      <c r="G19" s="74" t="n"/>
      <c r="H19" s="76">
        <f>CHOOSE($D$4,H21,H22,H23)</f>
        <v/>
      </c>
      <c r="I19" s="76">
        <f>CHOOSE($D$4,I21,I22,I23)</f>
        <v/>
      </c>
      <c r="J19" s="76">
        <f>CHOOSE($D$4,J21,J22,J23)</f>
        <v/>
      </c>
      <c r="K19" s="77">
        <f>CHOOSE($D$4,K21,K22,K23)</f>
        <v/>
      </c>
      <c r="L19" s="77">
        <f>CHOOSE($D$4,L21,L22,L23)</f>
        <v/>
      </c>
      <c r="M19" s="77">
        <f>CHOOSE($D$4,M21,M22,M23)</f>
        <v/>
      </c>
      <c r="N19" s="77">
        <f>CHOOSE($D$4,N21,N22,N23)</f>
        <v/>
      </c>
      <c r="O19" s="77">
        <f>CHOOSE($D$4,O21,O22,O23)</f>
        <v/>
      </c>
    </row>
    <row r="21">
      <c r="C21" s="79" t="inlineStr">
        <is>
          <t>Base</t>
        </is>
      </c>
      <c r="D21" s="80" t="n"/>
      <c r="E21" s="80" t="n"/>
      <c r="F21" s="80" t="n"/>
      <c r="G21" s="80" t="n"/>
      <c r="H21" s="81" t="n">
        <v>0.455</v>
      </c>
      <c r="I21" s="81" t="n">
        <v>0.46</v>
      </c>
      <c r="J21" s="81" t="n">
        <v>0.465</v>
      </c>
      <c r="K21" s="82" t="n">
        <v>0.47</v>
      </c>
      <c r="L21" s="82" t="n">
        <v>0.47</v>
      </c>
      <c r="M21" s="82" t="n">
        <v>0.475</v>
      </c>
      <c r="N21" s="82" t="n">
        <v>0.475</v>
      </c>
      <c r="O21" s="82" t="n">
        <v>0.48</v>
      </c>
    </row>
    <row r="22">
      <c r="C22" s="83" t="inlineStr">
        <is>
          <t>Best</t>
        </is>
      </c>
      <c r="H22" s="78" t="n">
        <v>0.4672058706992631</v>
      </c>
      <c r="I22" s="78" t="n">
        <v>0.4815614747376935</v>
      </c>
      <c r="J22" s="78" t="n">
        <v>0.495917078776124</v>
      </c>
      <c r="K22" s="84" t="n">
        <v>0.5102726828145544</v>
      </c>
      <c r="L22" s="84" t="n">
        <v>0.515</v>
      </c>
      <c r="M22" s="84" t="n">
        <v>0.52</v>
      </c>
      <c r="N22" s="84" t="n">
        <v>0.52</v>
      </c>
      <c r="O22" s="84" t="n">
        <v>0.52</v>
      </c>
    </row>
    <row r="23">
      <c r="C23" s="85" t="inlineStr">
        <is>
          <t>Bear</t>
        </is>
      </c>
      <c r="D23" s="86" t="n"/>
      <c r="E23" s="86" t="n"/>
      <c r="F23" s="86" t="n"/>
      <c r="G23" s="86" t="n"/>
      <c r="H23" s="87" t="n">
        <v>0.435</v>
      </c>
      <c r="I23" s="87" t="n">
        <v>0.435</v>
      </c>
      <c r="J23" s="87" t="n">
        <v>0.44</v>
      </c>
      <c r="K23" s="88" t="n">
        <v>0.44</v>
      </c>
      <c r="L23" s="88" t="n">
        <v>0.44</v>
      </c>
      <c r="M23" s="88" t="n">
        <v>0.44</v>
      </c>
      <c r="N23" s="88" t="n">
        <v>0.44</v>
      </c>
      <c r="O23" s="88" t="n">
        <v>0.44</v>
      </c>
    </row>
    <row r="27">
      <c r="C27" s="79" t="n"/>
      <c r="D27" s="80" t="n"/>
      <c r="E27" s="80" t="n"/>
      <c r="F27" s="80" t="n"/>
      <c r="G27" s="80" t="n"/>
      <c r="H27" s="81" t="n"/>
      <c r="I27" s="81" t="n"/>
      <c r="J27" s="81" t="n"/>
      <c r="K27" s="81" t="n"/>
      <c r="L27" s="81" t="n"/>
      <c r="M27" s="81" t="n"/>
      <c r="N27" s="81" t="n"/>
      <c r="O27" s="81" t="n"/>
    </row>
    <row r="28">
      <c r="C28" s="83" t="n"/>
      <c r="H28" s="78" t="n"/>
      <c r="I28" s="78" t="n"/>
      <c r="J28" s="78" t="n"/>
      <c r="K28" s="84" t="n"/>
      <c r="L28" s="84" t="n"/>
      <c r="M28" s="84" t="n"/>
      <c r="N28" s="84" t="n"/>
      <c r="O28" s="84" t="n"/>
    </row>
    <row r="29">
      <c r="C29" s="85" t="n"/>
      <c r="D29" s="86" t="n"/>
      <c r="E29" s="86" t="n"/>
      <c r="F29" s="86" t="n"/>
      <c r="G29" s="86" t="n"/>
      <c r="H29" s="87" t="n"/>
      <c r="I29" s="87" t="n"/>
      <c r="J29" s="87" t="n"/>
      <c r="K29" s="88" t="n"/>
      <c r="L29" s="88" t="n"/>
      <c r="M29" s="88" t="n"/>
      <c r="N29" s="88" t="n"/>
      <c r="O29" s="8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R78"/>
  <sheetViews>
    <sheetView showGridLines="0" topLeftCell="A23" zoomScale="77" workbookViewId="0">
      <selection activeCell="J25" sqref="J25"/>
    </sheetView>
  </sheetViews>
  <sheetFormatPr baseColWidth="8" defaultRowHeight="18" customHeight="1"/>
  <cols>
    <col width="2.77734375" customWidth="1" min="1" max="1"/>
    <col width="30.77734375" customWidth="1" min="2" max="2"/>
    <col width="12.77734375" customWidth="1" min="3" max="8"/>
    <col width="5.77734375" customWidth="1" min="9" max="9"/>
    <col width="12.77734375" customWidth="1" min="10" max="13"/>
    <col width="5.77734375" customWidth="1" min="14" max="14"/>
    <col width="12.77734375" customWidth="1" min="15" max="18"/>
  </cols>
  <sheetData>
    <row r="1" ht="14.4" customHeight="1"/>
    <row r="2" ht="21" customHeight="1">
      <c r="B2" s="112" t="inlineStr">
        <is>
          <t>Peer Comparison</t>
        </is>
      </c>
    </row>
    <row r="3" ht="21" customHeight="1">
      <c r="A3" t="inlineStr">
        <is>
          <t>x</t>
        </is>
      </c>
      <c r="B3" s="112" t="n"/>
      <c r="C3" s="308" t="inlineStr">
        <is>
          <t>Assumptions</t>
        </is>
      </c>
      <c r="D3" s="308" t="n"/>
      <c r="E3" s="308" t="n"/>
      <c r="F3" s="308" t="n"/>
    </row>
    <row r="4" ht="14.4" customHeight="1">
      <c r="C4" s="277" t="inlineStr">
        <is>
          <t>Revenue</t>
        </is>
      </c>
      <c r="D4" s="278" t="inlineStr">
        <is>
          <t>EBITDA</t>
        </is>
      </c>
      <c r="E4" s="278" t="inlineStr">
        <is>
          <t>EBIT</t>
        </is>
      </c>
      <c r="F4" s="279" t="inlineStr">
        <is>
          <t>PAT</t>
        </is>
      </c>
    </row>
    <row r="5" ht="14.4" customHeight="1">
      <c r="B5" s="7" t="inlineStr">
        <is>
          <t>United Breweries</t>
        </is>
      </c>
      <c r="C5" s="283" t="n">
        <v>0.08</v>
      </c>
      <c r="D5" s="284" t="n">
        <v>0.08917748917748917</v>
      </c>
      <c r="E5" s="284" t="n">
        <v>0.06266233766233766</v>
      </c>
      <c r="F5" s="285" t="n">
        <v>0.0446969696969697</v>
      </c>
    </row>
    <row r="6" ht="14.4" customHeight="1">
      <c r="B6" s="7" t="inlineStr">
        <is>
          <t>Radico Khaitan Ltd</t>
        </is>
      </c>
      <c r="C6" s="283" t="n">
        <v>0.25</v>
      </c>
      <c r="D6" s="284" t="n">
        <v>0.1715702479338843</v>
      </c>
      <c r="E6" s="284" t="n">
        <v>0.1464462809917355</v>
      </c>
      <c r="F6" s="285" t="n">
        <v>0.1019834710743802</v>
      </c>
    </row>
    <row r="7" ht="14.4" customHeight="1">
      <c r="B7" s="7" t="inlineStr">
        <is>
          <t>Allied Blenders</t>
        </is>
      </c>
      <c r="C7" s="286" t="n">
        <v>0.08</v>
      </c>
      <c r="D7" s="287" t="n">
        <v>0.1381595717563089</v>
      </c>
      <c r="E7" s="287" t="n">
        <v>0.1241396890135101</v>
      </c>
      <c r="F7" s="288" t="n">
        <v>0.05837369360183533</v>
      </c>
    </row>
    <row r="8" ht="14.4" customHeight="1">
      <c r="B8" s="7" t="n"/>
      <c r="C8" s="78" t="n"/>
      <c r="D8" s="78" t="n"/>
      <c r="E8" s="78" t="n"/>
      <c r="F8" s="78" t="n"/>
    </row>
    <row r="9" ht="14.4" customHeight="1">
      <c r="B9" s="7" t="n"/>
      <c r="C9" s="321" t="n">
        <v>2026</v>
      </c>
      <c r="D9" s="240" t="n"/>
      <c r="E9" s="240" t="n"/>
      <c r="F9" s="240" t="n"/>
      <c r="G9" s="240" t="n"/>
      <c r="H9" s="240" t="n"/>
      <c r="I9" s="15" t="n"/>
      <c r="J9" s="322">
        <f>C9+1</f>
        <v/>
      </c>
      <c r="K9" s="240" t="n"/>
      <c r="L9" s="240" t="n"/>
      <c r="M9" s="240" t="n"/>
      <c r="N9" s="15" t="n"/>
      <c r="O9" s="322">
        <f>J9+1</f>
        <v/>
      </c>
      <c r="P9" s="240" t="n"/>
      <c r="Q9" s="240" t="n"/>
      <c r="R9" s="240" t="n"/>
    </row>
    <row r="10" ht="4.95" customHeight="1"/>
    <row r="11" ht="18" customHeight="1">
      <c r="A11" t="inlineStr">
        <is>
          <t>x</t>
        </is>
      </c>
      <c r="B11" s="7" t="inlineStr">
        <is>
          <t>Particulars</t>
        </is>
      </c>
      <c r="C11" s="280" t="inlineStr">
        <is>
          <t>Mkt Cap</t>
        </is>
      </c>
      <c r="D11" s="281" t="inlineStr">
        <is>
          <t>EV</t>
        </is>
      </c>
      <c r="E11" s="281" t="inlineStr">
        <is>
          <t>Revenue</t>
        </is>
      </c>
      <c r="F11" s="281" t="inlineStr">
        <is>
          <t>EBITDA</t>
        </is>
      </c>
      <c r="G11" s="281" t="inlineStr">
        <is>
          <t>EBIT</t>
        </is>
      </c>
      <c r="H11" s="282" t="inlineStr">
        <is>
          <t>PAT</t>
        </is>
      </c>
      <c r="I11" s="274" t="n"/>
      <c r="J11" s="280" t="inlineStr">
        <is>
          <t>Revenue</t>
        </is>
      </c>
      <c r="K11" s="281" t="inlineStr">
        <is>
          <t>EBITDA</t>
        </is>
      </c>
      <c r="L11" s="281" t="inlineStr">
        <is>
          <t>EBIT</t>
        </is>
      </c>
      <c r="M11" s="282" t="inlineStr">
        <is>
          <t>PAT</t>
        </is>
      </c>
      <c r="N11" s="274" t="n"/>
      <c r="O11" s="280" t="inlineStr">
        <is>
          <t>Revenue</t>
        </is>
      </c>
      <c r="P11" s="281" t="inlineStr">
        <is>
          <t>EBITDA</t>
        </is>
      </c>
      <c r="Q11" s="281" t="inlineStr">
        <is>
          <t>EBIT</t>
        </is>
      </c>
      <c r="R11" s="282" t="inlineStr">
        <is>
          <t>PAT</t>
        </is>
      </c>
    </row>
    <row r="12" ht="18" customHeight="1">
      <c r="B12" s="7" t="inlineStr">
        <is>
          <t>United Spirits</t>
        </is>
      </c>
      <c r="C12" s="323" t="n">
        <v>96196</v>
      </c>
      <c r="D12" s="324" t="n">
        <v>94632</v>
      </c>
      <c r="E12" s="324" t="n">
        <v>12467</v>
      </c>
      <c r="F12" s="324" t="n">
        <v>2279</v>
      </c>
      <c r="G12" s="324" t="n">
        <v>1990</v>
      </c>
      <c r="H12" s="325" t="n">
        <v>1838</v>
      </c>
      <c r="I12" s="326" t="n"/>
      <c r="J12" s="323" t="n">
        <v>13589.03</v>
      </c>
      <c r="K12" s="324" t="n">
        <v>2547.324150865707</v>
      </c>
      <c r="L12" s="324" t="n">
        <v>2351.16124372285</v>
      </c>
      <c r="M12" s="325" t="n">
        <v>1846.993912292137</v>
      </c>
      <c r="N12" s="326" t="n"/>
      <c r="O12" s="323" t="n">
        <v>14676.1524</v>
      </c>
      <c r="P12" s="324" t="n">
        <v>2824.490844934961</v>
      </c>
      <c r="Q12" s="324" t="n">
        <v>2585.301941792104</v>
      </c>
      <c r="R12" s="325" t="n">
        <v>2023.588312086771</v>
      </c>
    </row>
    <row r="13" ht="18" customHeight="1">
      <c r="B13" s="7" t="inlineStr">
        <is>
          <t>United Breweries</t>
        </is>
      </c>
      <c r="C13" s="323" t="n">
        <v>35605</v>
      </c>
      <c r="D13" s="324" t="n">
        <v>36350</v>
      </c>
      <c r="E13" s="324" t="n">
        <v>9240</v>
      </c>
      <c r="F13" s="324" t="n">
        <v>824</v>
      </c>
      <c r="G13" s="324" t="n">
        <v>579</v>
      </c>
      <c r="H13" s="325" t="n">
        <v>413</v>
      </c>
      <c r="I13" s="326" t="n"/>
      <c r="J13" s="327">
        <f>E13*(1+C5)</f>
        <v/>
      </c>
      <c r="K13" s="328">
        <f>J13*D5</f>
        <v/>
      </c>
      <c r="L13" s="328">
        <f>J13*E5</f>
        <v/>
      </c>
      <c r="M13" s="329">
        <f>J13*F5</f>
        <v/>
      </c>
      <c r="N13" s="326" t="n"/>
      <c r="O13" s="327">
        <f>J13*(1+C5)</f>
        <v/>
      </c>
      <c r="P13" s="328">
        <f>$O$13*D5</f>
        <v/>
      </c>
      <c r="Q13" s="328">
        <f>$O$13*E5</f>
        <v/>
      </c>
      <c r="R13" s="329">
        <f>$O$13*F5</f>
        <v/>
      </c>
    </row>
    <row r="14" ht="18" customHeight="1">
      <c r="B14" s="7" t="inlineStr">
        <is>
          <t>Radico Khaitan Ltd</t>
        </is>
      </c>
      <c r="C14" s="323" t="n">
        <v>50274</v>
      </c>
      <c r="D14" s="324" t="n">
        <v>50883</v>
      </c>
      <c r="E14" s="324" t="n">
        <v>6050</v>
      </c>
      <c r="F14" s="324" t="n">
        <v>1038</v>
      </c>
      <c r="G14" s="324" t="n">
        <v>886</v>
      </c>
      <c r="H14" s="325" t="n">
        <v>617</v>
      </c>
      <c r="I14" s="326" t="n"/>
      <c r="J14" s="327">
        <f>E14*(1+C6)</f>
        <v/>
      </c>
      <c r="K14" s="328">
        <f>J14*D6</f>
        <v/>
      </c>
      <c r="L14" s="328">
        <f>J14*E6</f>
        <v/>
      </c>
      <c r="M14" s="329">
        <f>J14*F6</f>
        <v/>
      </c>
      <c r="N14" s="326" t="n"/>
      <c r="O14" s="327">
        <f>J14*(1+C6)</f>
        <v/>
      </c>
      <c r="P14" s="328">
        <f>$O$14*D6</f>
        <v/>
      </c>
      <c r="Q14" s="328">
        <f>$O$14*E6</f>
        <v/>
      </c>
      <c r="R14" s="329">
        <f>$O$14*F6</f>
        <v/>
      </c>
    </row>
    <row r="15" ht="18" customHeight="1">
      <c r="B15" s="7" t="inlineStr">
        <is>
          <t>Allied Blenders</t>
        </is>
      </c>
      <c r="C15" s="330" t="n">
        <v>17640</v>
      </c>
      <c r="D15" s="331" t="n">
        <v>18635</v>
      </c>
      <c r="E15" s="331" t="n">
        <v>3923</v>
      </c>
      <c r="F15" s="331" t="n">
        <v>542</v>
      </c>
      <c r="G15" s="331" t="n">
        <v>487</v>
      </c>
      <c r="H15" s="332" t="n">
        <v>229</v>
      </c>
      <c r="I15" s="326" t="n"/>
      <c r="J15" s="333">
        <f>E15*(1+C7)</f>
        <v/>
      </c>
      <c r="K15" s="334">
        <f>J15*D7</f>
        <v/>
      </c>
      <c r="L15" s="334">
        <f>J15*E7</f>
        <v/>
      </c>
      <c r="M15" s="335">
        <f>J15*F7</f>
        <v/>
      </c>
      <c r="N15" s="326" t="n"/>
      <c r="O15" s="333">
        <f>J15*(1+C7)</f>
        <v/>
      </c>
      <c r="P15" s="334">
        <f>$O$15*D7</f>
        <v/>
      </c>
      <c r="Q15" s="334">
        <f>$O$15*E7</f>
        <v/>
      </c>
      <c r="R15" s="335">
        <f>$O$15*F7</f>
        <v/>
      </c>
    </row>
    <row r="16" ht="18" customHeight="1">
      <c r="B16" s="7" t="n"/>
    </row>
    <row r="17" ht="18" customHeight="1">
      <c r="B17" s="7" t="n"/>
    </row>
    <row r="18" ht="18" customHeight="1">
      <c r="A18" t="inlineStr">
        <is>
          <t>x</t>
        </is>
      </c>
      <c r="B18" s="112" t="inlineStr">
        <is>
          <t>Multiples</t>
        </is>
      </c>
    </row>
    <row r="19" ht="18" customHeight="1">
      <c r="E19" s="321" t="n">
        <v>2026</v>
      </c>
      <c r="F19" s="239" t="n"/>
      <c r="G19" s="239" t="n"/>
      <c r="H19" s="239" t="n"/>
      <c r="J19" s="322">
        <f>1+E19</f>
        <v/>
      </c>
      <c r="K19" s="239" t="n"/>
      <c r="L19" s="239" t="n"/>
      <c r="M19" s="239" t="n"/>
      <c r="O19" s="322">
        <f>J19+1</f>
        <v/>
      </c>
      <c r="P19" s="239" t="n"/>
      <c r="Q19" s="239" t="n"/>
      <c r="R19" s="239" t="n"/>
    </row>
    <row r="20" ht="4.95" customHeight="1">
      <c r="E20" s="321" t="n"/>
      <c r="F20" s="239" t="n"/>
      <c r="G20" s="239" t="n"/>
      <c r="H20" s="239" t="n"/>
      <c r="J20" s="321" t="n"/>
      <c r="K20" s="239" t="n"/>
      <c r="L20" s="239" t="n"/>
      <c r="M20" s="239" t="n"/>
      <c r="O20" s="322" t="n"/>
      <c r="P20" s="239" t="n"/>
      <c r="Q20" s="239" t="n"/>
      <c r="R20" s="239" t="n"/>
    </row>
    <row r="21" ht="18" customHeight="1">
      <c r="B21" s="7" t="inlineStr">
        <is>
          <t>Particulars</t>
        </is>
      </c>
      <c r="E21" s="280" t="inlineStr">
        <is>
          <t>EV/Revenue</t>
        </is>
      </c>
      <c r="F21" s="281" t="inlineStr">
        <is>
          <t>EV/EBITDA</t>
        </is>
      </c>
      <c r="G21" s="281" t="inlineStr">
        <is>
          <t>EV/EBIT</t>
        </is>
      </c>
      <c r="H21" s="282" t="inlineStr">
        <is>
          <t>P/E</t>
        </is>
      </c>
      <c r="J21" s="280" t="inlineStr">
        <is>
          <t>EV/Revenue</t>
        </is>
      </c>
      <c r="K21" s="281" t="inlineStr">
        <is>
          <t>EV/EBITDA</t>
        </is>
      </c>
      <c r="L21" s="281" t="inlineStr">
        <is>
          <t>EV/EBIT</t>
        </is>
      </c>
      <c r="M21" s="282" t="inlineStr">
        <is>
          <t>P/E</t>
        </is>
      </c>
      <c r="O21" s="280" t="inlineStr">
        <is>
          <t>EV/Revenue</t>
        </is>
      </c>
      <c r="P21" s="281" t="inlineStr">
        <is>
          <t>EV/EBITDA</t>
        </is>
      </c>
      <c r="Q21" s="281" t="inlineStr">
        <is>
          <t>EV/EBIT</t>
        </is>
      </c>
      <c r="R21" s="282" t="inlineStr">
        <is>
          <t>P/E</t>
        </is>
      </c>
    </row>
    <row r="22" ht="18" customHeight="1">
      <c r="A22" t="inlineStr">
        <is>
          <t>x</t>
        </is>
      </c>
      <c r="B22" s="7" t="inlineStr">
        <is>
          <t>United Spirits</t>
        </is>
      </c>
      <c r="E22" s="336">
        <f>$D$12/E12</f>
        <v/>
      </c>
      <c r="F22" s="337">
        <f>$D$12/F12</f>
        <v/>
      </c>
      <c r="G22" s="337">
        <f>$D$12/G12</f>
        <v/>
      </c>
      <c r="H22" s="338">
        <f>$C$12/H12</f>
        <v/>
      </c>
      <c r="J22" s="336">
        <f>$D$12/J12</f>
        <v/>
      </c>
      <c r="K22" s="337">
        <f>$D$12/K12</f>
        <v/>
      </c>
      <c r="L22" s="337">
        <f>$D$12/L12</f>
        <v/>
      </c>
      <c r="M22" s="338">
        <f>$C$12/M12</f>
        <v/>
      </c>
      <c r="O22" s="336">
        <f>$D$12/O12</f>
        <v/>
      </c>
      <c r="P22" s="337">
        <f>$D$12/P12</f>
        <v/>
      </c>
      <c r="Q22" s="337">
        <f>$D$12/Q12</f>
        <v/>
      </c>
      <c r="R22" s="338">
        <f>$C$12/R12</f>
        <v/>
      </c>
    </row>
    <row r="23" ht="18" customHeight="1">
      <c r="B23" s="7" t="inlineStr">
        <is>
          <t>United Breweries</t>
        </is>
      </c>
      <c r="E23" s="336">
        <f>$D$13/E13</f>
        <v/>
      </c>
      <c r="F23" s="337">
        <f>$D$13/F13</f>
        <v/>
      </c>
      <c r="G23" s="337">
        <f>$D$13/G13</f>
        <v/>
      </c>
      <c r="H23" s="338">
        <f>$C$13/H13</f>
        <v/>
      </c>
      <c r="J23" s="336">
        <f>$D$13/J13</f>
        <v/>
      </c>
      <c r="K23" s="337">
        <f>$D$13/K13</f>
        <v/>
      </c>
      <c r="L23" s="337">
        <f>$D$13/L13</f>
        <v/>
      </c>
      <c r="M23" s="338">
        <f>$C$13/M13</f>
        <v/>
      </c>
      <c r="O23" s="336">
        <f>$D$13/O13</f>
        <v/>
      </c>
      <c r="P23" s="337">
        <f>$D$13/P13</f>
        <v/>
      </c>
      <c r="Q23" s="337">
        <f>$D$13/Q13</f>
        <v/>
      </c>
      <c r="R23" s="338">
        <f>$C$13/R13</f>
        <v/>
      </c>
    </row>
    <row r="24" ht="18" customHeight="1">
      <c r="B24" s="7" t="inlineStr">
        <is>
          <t>Radico Khaitan Ltd</t>
        </is>
      </c>
      <c r="E24" s="336">
        <f>$D$14/E14</f>
        <v/>
      </c>
      <c r="F24" s="337">
        <f>$D$14/F14</f>
        <v/>
      </c>
      <c r="G24" s="337">
        <f>$D$14/G14</f>
        <v/>
      </c>
      <c r="H24" s="338">
        <f>$C$14/H14</f>
        <v/>
      </c>
      <c r="J24" s="336">
        <f>$D$14/J14</f>
        <v/>
      </c>
      <c r="K24" s="337">
        <f>$D$14/K14</f>
        <v/>
      </c>
      <c r="L24" s="337">
        <f>$D$14/L14</f>
        <v/>
      </c>
      <c r="M24" s="338">
        <f>$C$14/M14</f>
        <v/>
      </c>
      <c r="O24" s="336">
        <f>$D$14/O14</f>
        <v/>
      </c>
      <c r="P24" s="337">
        <f>$D$14/P14</f>
        <v/>
      </c>
      <c r="Q24" s="337">
        <f>$D$14/Q14</f>
        <v/>
      </c>
      <c r="R24" s="338">
        <f>$C$14/R14</f>
        <v/>
      </c>
    </row>
    <row r="25" ht="18" customHeight="1">
      <c r="B25" s="7" t="inlineStr">
        <is>
          <t>Allied Blenders</t>
        </is>
      </c>
      <c r="E25" s="336">
        <f>$D$15/E15</f>
        <v/>
      </c>
      <c r="F25" s="337">
        <f>$D$15/F15</f>
        <v/>
      </c>
      <c r="G25" s="337">
        <f>$D$15/G15</f>
        <v/>
      </c>
      <c r="H25" s="338">
        <f>$C$15/H15</f>
        <v/>
      </c>
      <c r="J25" s="336">
        <f>$D$15/J15</f>
        <v/>
      </c>
      <c r="K25" s="337">
        <f>$D$15/K15</f>
        <v/>
      </c>
      <c r="L25" s="337">
        <f>$D$15/L15</f>
        <v/>
      </c>
      <c r="M25" s="338">
        <f>$C$15/M15</f>
        <v/>
      </c>
      <c r="O25" s="336">
        <f>$D$15/O15</f>
        <v/>
      </c>
      <c r="P25" s="337">
        <f>$D$15/P15</f>
        <v/>
      </c>
      <c r="Q25" s="337">
        <f>$D$15/Q15</f>
        <v/>
      </c>
      <c r="R25" s="338">
        <f>$C$15/R15</f>
        <v/>
      </c>
    </row>
    <row r="26" ht="18" customHeight="1">
      <c r="E26" s="168" t="n"/>
      <c r="H26" s="262" t="n"/>
      <c r="J26" s="168" t="n"/>
      <c r="M26" s="262" t="n"/>
      <c r="O26" s="168" t="n"/>
      <c r="R26" s="262" t="n"/>
    </row>
    <row r="27" ht="18" customHeight="1">
      <c r="B27" s="7" t="inlineStr">
        <is>
          <t>Mean</t>
        </is>
      </c>
      <c r="E27" s="336">
        <f>AVERAGE(E23:E25)</f>
        <v/>
      </c>
      <c r="F27" s="337">
        <f>AVERAGE(F23:F25)</f>
        <v/>
      </c>
      <c r="G27" s="337">
        <f>AVERAGE(G23:G25)</f>
        <v/>
      </c>
      <c r="H27" s="338">
        <f>AVERAGE(H23:H25)</f>
        <v/>
      </c>
      <c r="J27" s="336">
        <f>AVERAGE(J23:J25)</f>
        <v/>
      </c>
      <c r="K27" s="337">
        <f>AVERAGE(K23:K25)</f>
        <v/>
      </c>
      <c r="L27" s="337">
        <f>AVERAGE(L23:L25)</f>
        <v/>
      </c>
      <c r="M27" s="338">
        <f>AVERAGE(M23:M25)</f>
        <v/>
      </c>
      <c r="O27" s="336">
        <f>AVERAGE(O23:O25)</f>
        <v/>
      </c>
      <c r="P27" s="337">
        <f>AVERAGE(P23:P25)</f>
        <v/>
      </c>
      <c r="Q27" s="337">
        <f>AVERAGE(Q23:Q25)</f>
        <v/>
      </c>
      <c r="R27" s="338">
        <f>AVERAGE(R23:R25)</f>
        <v/>
      </c>
    </row>
    <row r="28" ht="18" customHeight="1">
      <c r="B28" s="7" t="inlineStr">
        <is>
          <t>Median</t>
        </is>
      </c>
      <c r="E28" s="336">
        <f>MEDIAN(E23:E25)</f>
        <v/>
      </c>
      <c r="F28" s="337">
        <f>MEDIAN(F23:F25)</f>
        <v/>
      </c>
      <c r="G28" s="337">
        <f>MEDIAN(G23:G25)</f>
        <v/>
      </c>
      <c r="H28" s="338">
        <f>MEDIAN(H23:H25)</f>
        <v/>
      </c>
      <c r="J28" s="336">
        <f>MEDIAN(J23:J25)</f>
        <v/>
      </c>
      <c r="K28" s="337">
        <f>MEDIAN(K23:K25)</f>
        <v/>
      </c>
      <c r="L28" s="337">
        <f>MEDIAN(L23:L25)</f>
        <v/>
      </c>
      <c r="M28" s="338">
        <f>MEDIAN(M23:M25)</f>
        <v/>
      </c>
      <c r="O28" s="336">
        <f>MEDIAN(O23:O25)</f>
        <v/>
      </c>
      <c r="P28" s="337">
        <f>MEDIAN(P23:P25)</f>
        <v/>
      </c>
      <c r="Q28" s="337">
        <f>MEDIAN(Q23:Q25)</f>
        <v/>
      </c>
      <c r="R28" s="338">
        <f>MEDIAN(R23:R25)</f>
        <v/>
      </c>
    </row>
    <row r="29" ht="18" customHeight="1">
      <c r="B29" s="7" t="inlineStr">
        <is>
          <t>Lower Quartile</t>
        </is>
      </c>
      <c r="E29" s="336">
        <f>QUARTILE(E23:E25,1)</f>
        <v/>
      </c>
      <c r="F29" s="337">
        <f>QUARTILE(F23:F25,1)</f>
        <v/>
      </c>
      <c r="G29" s="337">
        <f>QUARTILE(G23:G25,1)</f>
        <v/>
      </c>
      <c r="H29" s="338">
        <f>QUARTILE(H23:H25,1)</f>
        <v/>
      </c>
      <c r="J29" s="336">
        <f>QUARTILE(J23:J25,1)</f>
        <v/>
      </c>
      <c r="K29" s="337">
        <f>QUARTILE(K23:K25,1)</f>
        <v/>
      </c>
      <c r="L29" s="337">
        <f>QUARTILE(L23:L25,1)</f>
        <v/>
      </c>
      <c r="M29" s="338">
        <f>QUARTILE(M23:M25,1)</f>
        <v/>
      </c>
      <c r="O29" s="336">
        <f>QUARTILE(O23:O25,1)</f>
        <v/>
      </c>
      <c r="P29" s="337">
        <f>QUARTILE(P23:P25,1)</f>
        <v/>
      </c>
      <c r="Q29" s="337">
        <f>QUARTILE(Q23:Q25,1)</f>
        <v/>
      </c>
      <c r="R29" s="338">
        <f>QUARTILE(R23:R25,1)</f>
        <v/>
      </c>
    </row>
    <row r="30" ht="18" customHeight="1">
      <c r="A30" t="inlineStr">
        <is>
          <t>x</t>
        </is>
      </c>
      <c r="B30" s="7" t="inlineStr">
        <is>
          <t>Upper Quartile</t>
        </is>
      </c>
      <c r="E30" s="339">
        <f>QUARTILE(E23:E25,3)</f>
        <v/>
      </c>
      <c r="F30" s="340">
        <f>QUARTILE(F23:F25,3)</f>
        <v/>
      </c>
      <c r="G30" s="340">
        <f>QUARTILE(G23:G25,3)</f>
        <v/>
      </c>
      <c r="H30" s="341">
        <f>QUARTILE(H23:H25,3)</f>
        <v/>
      </c>
      <c r="J30" s="339">
        <f>QUARTILE(J23:J25,3)</f>
        <v/>
      </c>
      <c r="K30" s="340">
        <f>QUARTILE(K23:K25,3)</f>
        <v/>
      </c>
      <c r="L30" s="340">
        <f>QUARTILE(L23:L25,3)</f>
        <v/>
      </c>
      <c r="M30" s="341">
        <f>QUARTILE(M23:M25,3)</f>
        <v/>
      </c>
      <c r="O30" s="339">
        <f>QUARTILE(O23:O25,3)</f>
        <v/>
      </c>
      <c r="P30" s="340">
        <f>QUARTILE(P23:P25,3)</f>
        <v/>
      </c>
      <c r="Q30" s="340">
        <f>QUARTILE(Q23:Q25,3)</f>
        <v/>
      </c>
      <c r="R30" s="341">
        <f>QUARTILE(R23:R25,3)</f>
        <v/>
      </c>
    </row>
    <row r="33" ht="18" customHeight="1">
      <c r="A33" t="inlineStr">
        <is>
          <t>x</t>
        </is>
      </c>
      <c r="B33" s="112" t="inlineStr">
        <is>
          <t>Valuation using Mean Multiples</t>
        </is>
      </c>
    </row>
    <row r="34" ht="18" customHeight="1">
      <c r="B34" s="112" t="n"/>
      <c r="E34" s="321" t="n">
        <v>2026</v>
      </c>
      <c r="F34" s="239" t="n"/>
      <c r="G34" s="239" t="n"/>
      <c r="H34" s="239" t="n"/>
      <c r="J34" s="322">
        <f>1+E34</f>
        <v/>
      </c>
      <c r="K34" s="239" t="n"/>
      <c r="L34" s="239" t="n"/>
      <c r="M34" s="239" t="n"/>
      <c r="O34" s="322">
        <f>J34+1</f>
        <v/>
      </c>
      <c r="P34" s="239" t="n"/>
      <c r="Q34" s="239" t="n"/>
      <c r="R34" s="239" t="n"/>
    </row>
    <row r="35" ht="4.95" customHeight="1">
      <c r="B35" s="112" t="n"/>
      <c r="E35" s="321" t="n"/>
      <c r="F35" s="239" t="n"/>
      <c r="G35" s="239" t="n"/>
      <c r="H35" s="239" t="n"/>
      <c r="J35" s="322" t="n"/>
      <c r="K35" s="239" t="n"/>
      <c r="L35" s="239" t="n"/>
      <c r="M35" s="239" t="n"/>
      <c r="O35" s="322" t="n"/>
      <c r="P35" s="239" t="n"/>
      <c r="Q35" s="239" t="n"/>
      <c r="R35" s="239" t="n"/>
    </row>
    <row r="36" ht="18" customHeight="1">
      <c r="E36" s="280" t="inlineStr">
        <is>
          <t>EV/Revenue</t>
        </is>
      </c>
      <c r="F36" s="281" t="inlineStr">
        <is>
          <t>EV/EBITDA</t>
        </is>
      </c>
      <c r="G36" s="281" t="inlineStr">
        <is>
          <t>EV/EBIT</t>
        </is>
      </c>
      <c r="H36" s="282" t="inlineStr">
        <is>
          <t>P/E</t>
        </is>
      </c>
      <c r="J36" s="280" t="inlineStr">
        <is>
          <t>EV/Revenue</t>
        </is>
      </c>
      <c r="K36" s="281" t="inlineStr">
        <is>
          <t>EV/EBITDA</t>
        </is>
      </c>
      <c r="L36" s="281" t="inlineStr">
        <is>
          <t>EV/EBIT</t>
        </is>
      </c>
      <c r="M36" s="282" t="inlineStr">
        <is>
          <t>P/E</t>
        </is>
      </c>
      <c r="O36" s="280" t="inlineStr">
        <is>
          <t>EV/Revenue</t>
        </is>
      </c>
      <c r="P36" s="281" t="inlineStr">
        <is>
          <t>EV/EBITDA</t>
        </is>
      </c>
      <c r="Q36" s="281" t="inlineStr">
        <is>
          <t>EV/EBIT</t>
        </is>
      </c>
      <c r="R36" s="282" t="inlineStr">
        <is>
          <t>P/E</t>
        </is>
      </c>
    </row>
    <row r="37" ht="18" customHeight="1">
      <c r="B37" t="inlineStr">
        <is>
          <t>Enterprise Value &amp; Market Cap(P/E)</t>
        </is>
      </c>
      <c r="E37" s="342">
        <f>E27*E12</f>
        <v/>
      </c>
      <c r="F37" s="343">
        <f>F27*F12</f>
        <v/>
      </c>
      <c r="G37" s="343">
        <f>G27*G12</f>
        <v/>
      </c>
      <c r="H37" s="344">
        <f>H27*H12</f>
        <v/>
      </c>
      <c r="J37" s="342">
        <f>J27*J12</f>
        <v/>
      </c>
      <c r="K37" s="343">
        <f>K27*K12</f>
        <v/>
      </c>
      <c r="L37" s="343">
        <f>L27*L12</f>
        <v/>
      </c>
      <c r="M37" s="344">
        <f>M27*M12</f>
        <v/>
      </c>
      <c r="O37" s="342">
        <f>O27*O12</f>
        <v/>
      </c>
      <c r="P37" s="343">
        <f>P27*P12</f>
        <v/>
      </c>
      <c r="Q37" s="343">
        <f>Q27*Q12</f>
        <v/>
      </c>
      <c r="R37" s="344">
        <f>R27*R12</f>
        <v/>
      </c>
    </row>
    <row r="38" ht="18" customHeight="1">
      <c r="B38" t="inlineStr">
        <is>
          <t>Debt</t>
        </is>
      </c>
      <c r="E38" s="342" t="n">
        <v>407</v>
      </c>
      <c r="F38" s="343" t="n">
        <v>407</v>
      </c>
      <c r="G38" s="343" t="n">
        <v>407</v>
      </c>
      <c r="H38" s="344" t="n"/>
      <c r="J38" s="342" t="n">
        <v>407</v>
      </c>
      <c r="K38" s="343" t="n">
        <v>407</v>
      </c>
      <c r="L38" s="343" t="n">
        <v>407</v>
      </c>
      <c r="M38" s="344" t="n"/>
      <c r="O38" s="342" t="n">
        <v>407</v>
      </c>
      <c r="P38" s="343" t="n">
        <v>407</v>
      </c>
      <c r="Q38" s="343" t="n">
        <v>407</v>
      </c>
      <c r="R38" s="344" t="n"/>
    </row>
    <row r="39" ht="18" customHeight="1">
      <c r="B39" t="inlineStr">
        <is>
          <t>Cash</t>
        </is>
      </c>
      <c r="E39" s="342" t="n">
        <v>3134</v>
      </c>
      <c r="F39" s="343" t="n">
        <v>3134</v>
      </c>
      <c r="G39" s="343" t="n">
        <v>3134</v>
      </c>
      <c r="H39" s="344" t="n"/>
      <c r="J39" s="342" t="n">
        <v>3134</v>
      </c>
      <c r="K39" s="343" t="n">
        <v>3134</v>
      </c>
      <c r="L39" s="343" t="n">
        <v>3134</v>
      </c>
      <c r="M39" s="344" t="n"/>
      <c r="O39" s="342" t="n">
        <v>3134</v>
      </c>
      <c r="P39" s="343" t="n">
        <v>3134</v>
      </c>
      <c r="Q39" s="343" t="n">
        <v>3134</v>
      </c>
      <c r="R39" s="344" t="n"/>
    </row>
    <row r="40" ht="18" customHeight="1">
      <c r="B40" t="inlineStr">
        <is>
          <t>Equity Value</t>
        </is>
      </c>
      <c r="E40" s="342">
        <f>E37-E38+E39</f>
        <v/>
      </c>
      <c r="F40" s="343">
        <f>F37-F38+F39</f>
        <v/>
      </c>
      <c r="G40" s="343">
        <f>G37-G38+G39</f>
        <v/>
      </c>
      <c r="H40" s="344" t="n"/>
      <c r="J40" s="342">
        <f>J37-J38+J39</f>
        <v/>
      </c>
      <c r="K40" s="343">
        <f>K37-K38+K39</f>
        <v/>
      </c>
      <c r="L40" s="343">
        <f>L37-L38+L39</f>
        <v/>
      </c>
      <c r="M40" s="344" t="n"/>
      <c r="O40" s="342">
        <f>O37-O38+O39</f>
        <v/>
      </c>
      <c r="P40" s="343">
        <f>P37-P38+P39</f>
        <v/>
      </c>
      <c r="Q40" s="343">
        <f>Q37-Q38+Q39</f>
        <v/>
      </c>
      <c r="R40" s="344" t="n"/>
    </row>
    <row r="41" ht="18" customHeight="1">
      <c r="B41" t="inlineStr">
        <is>
          <t>Shares O/S</t>
        </is>
      </c>
      <c r="E41" s="342" t="n">
        <v>72.73999999999999</v>
      </c>
      <c r="F41" s="343" t="n">
        <v>72.73999999999999</v>
      </c>
      <c r="G41" s="343" t="n">
        <v>72.73999999999999</v>
      </c>
      <c r="H41" s="344" t="n">
        <v>72.73999999999999</v>
      </c>
      <c r="J41" s="342" t="n">
        <v>72.73999999999999</v>
      </c>
      <c r="K41" s="343" t="n">
        <v>72.73999999999999</v>
      </c>
      <c r="L41" s="343" t="n">
        <v>72.73999999999999</v>
      </c>
      <c r="M41" s="344" t="n">
        <v>72.73999999999999</v>
      </c>
      <c r="O41" s="342" t="n">
        <v>72.73999999999999</v>
      </c>
      <c r="P41" s="343" t="n">
        <v>72.73999999999999</v>
      </c>
      <c r="Q41" s="343" t="n">
        <v>72.73999999999999</v>
      </c>
      <c r="R41" s="344" t="n">
        <v>72.73999999999999</v>
      </c>
    </row>
    <row r="42" ht="18" customHeight="1">
      <c r="A42" t="inlineStr">
        <is>
          <t>x</t>
        </is>
      </c>
      <c r="B42" s="7" t="inlineStr">
        <is>
          <t>Per Share Value</t>
        </is>
      </c>
      <c r="C42" s="7" t="n"/>
      <c r="D42" s="7" t="n"/>
      <c r="E42" s="345">
        <f>E40/E41</f>
        <v/>
      </c>
      <c r="F42" s="346">
        <f>F40/F41</f>
        <v/>
      </c>
      <c r="G42" s="346">
        <f>G40/G41</f>
        <v/>
      </c>
      <c r="H42" s="347">
        <f>H37/H41</f>
        <v/>
      </c>
      <c r="I42" s="7" t="n"/>
      <c r="J42" s="345">
        <f>J40/J41</f>
        <v/>
      </c>
      <c r="K42" s="346">
        <f>K40/K41</f>
        <v/>
      </c>
      <c r="L42" s="346">
        <f>L40/L41</f>
        <v/>
      </c>
      <c r="M42" s="347">
        <f>M37/M41</f>
        <v/>
      </c>
      <c r="N42" s="7" t="n"/>
      <c r="O42" s="345">
        <f>O40/O41</f>
        <v/>
      </c>
      <c r="P42" s="346">
        <f>P40/P41</f>
        <v/>
      </c>
      <c r="Q42" s="346">
        <f>Q40/Q41</f>
        <v/>
      </c>
      <c r="R42" s="347">
        <f>R37/R41</f>
        <v/>
      </c>
    </row>
    <row r="45" ht="18" customHeight="1">
      <c r="B45" s="112" t="inlineStr">
        <is>
          <t>Valuation using Median Multiples</t>
        </is>
      </c>
    </row>
    <row r="46" ht="18" customHeight="1">
      <c r="E46" s="321" t="n">
        <v>2026</v>
      </c>
      <c r="F46" s="239" t="n"/>
      <c r="G46" s="239" t="n"/>
      <c r="H46" s="239" t="n"/>
      <c r="J46" s="322">
        <f>1+E46</f>
        <v/>
      </c>
      <c r="K46" s="239" t="n"/>
      <c r="L46" s="239" t="n"/>
      <c r="M46" s="239" t="n"/>
      <c r="O46" s="322">
        <f>J46+1</f>
        <v/>
      </c>
      <c r="P46" s="239" t="n"/>
      <c r="Q46" s="239" t="n"/>
      <c r="R46" s="239" t="n"/>
    </row>
    <row r="47" ht="4.95" customHeight="1">
      <c r="E47" s="321" t="n"/>
      <c r="F47" s="239" t="n"/>
      <c r="G47" s="239" t="n"/>
      <c r="H47" s="239" t="n"/>
      <c r="J47" s="322" t="n"/>
      <c r="K47" s="239" t="n"/>
      <c r="L47" s="239" t="n"/>
      <c r="M47" s="239" t="n"/>
      <c r="O47" s="322" t="n"/>
      <c r="P47" s="239" t="n"/>
      <c r="Q47" s="239" t="n"/>
      <c r="R47" s="239" t="n"/>
    </row>
    <row r="48" ht="18" customHeight="1">
      <c r="E48" s="280" t="inlineStr">
        <is>
          <t>EV/Revenue</t>
        </is>
      </c>
      <c r="F48" s="281" t="inlineStr">
        <is>
          <t>EV/EBITDA</t>
        </is>
      </c>
      <c r="G48" s="281" t="inlineStr">
        <is>
          <t>EV/EBIT</t>
        </is>
      </c>
      <c r="H48" s="282" t="inlineStr">
        <is>
          <t>P/E</t>
        </is>
      </c>
      <c r="J48" s="280" t="inlineStr">
        <is>
          <t>EV/Revenue</t>
        </is>
      </c>
      <c r="K48" s="281" t="inlineStr">
        <is>
          <t>EV/EBITDA</t>
        </is>
      </c>
      <c r="L48" s="281" t="inlineStr">
        <is>
          <t>EV/EBIT</t>
        </is>
      </c>
      <c r="M48" s="282" t="inlineStr">
        <is>
          <t>P/E</t>
        </is>
      </c>
      <c r="O48" s="280" t="inlineStr">
        <is>
          <t>EV/Revenue</t>
        </is>
      </c>
      <c r="P48" s="281" t="inlineStr">
        <is>
          <t>EV/EBITDA</t>
        </is>
      </c>
      <c r="Q48" s="281" t="inlineStr">
        <is>
          <t>EV/EBIT</t>
        </is>
      </c>
      <c r="R48" s="282" t="inlineStr">
        <is>
          <t>P/E</t>
        </is>
      </c>
    </row>
    <row r="49" ht="18" customHeight="1">
      <c r="B49" t="inlineStr">
        <is>
          <t>Enterprise Value &amp; Market Cap(P/E)</t>
        </is>
      </c>
      <c r="E49" s="342">
        <f>E28*E12</f>
        <v/>
      </c>
      <c r="F49" s="343">
        <f>F28*F12</f>
        <v/>
      </c>
      <c r="G49" s="343">
        <f>G28*G12</f>
        <v/>
      </c>
      <c r="H49" s="344">
        <f>H28*H12</f>
        <v/>
      </c>
      <c r="J49" s="342">
        <f>J28*J12</f>
        <v/>
      </c>
      <c r="K49" s="343">
        <f>K28*K12</f>
        <v/>
      </c>
      <c r="L49" s="343">
        <f>L28*L12</f>
        <v/>
      </c>
      <c r="M49" s="344">
        <f>M28*M12</f>
        <v/>
      </c>
      <c r="O49" s="342">
        <f>O28*O12</f>
        <v/>
      </c>
      <c r="P49" s="343">
        <f>P28*P12</f>
        <v/>
      </c>
      <c r="Q49" s="343">
        <f>Q28*Q12</f>
        <v/>
      </c>
      <c r="R49" s="344">
        <f>R28*R12</f>
        <v/>
      </c>
    </row>
    <row r="50" ht="18" customHeight="1">
      <c r="B50" t="inlineStr">
        <is>
          <t>Debt</t>
        </is>
      </c>
      <c r="E50" s="342" t="n">
        <v>407</v>
      </c>
      <c r="F50" s="343" t="n">
        <v>407</v>
      </c>
      <c r="G50" s="343" t="n">
        <v>407</v>
      </c>
      <c r="H50" s="344" t="n"/>
      <c r="J50" s="342" t="n">
        <v>407</v>
      </c>
      <c r="K50" s="343" t="n">
        <v>407</v>
      </c>
      <c r="L50" s="343" t="n">
        <v>407</v>
      </c>
      <c r="M50" s="344" t="n"/>
      <c r="O50" s="342" t="n">
        <v>407</v>
      </c>
      <c r="P50" s="343" t="n">
        <v>407</v>
      </c>
      <c r="Q50" s="343" t="n">
        <v>407</v>
      </c>
      <c r="R50" s="344" t="n"/>
    </row>
    <row r="51" ht="18" customHeight="1">
      <c r="B51" t="inlineStr">
        <is>
          <t>Cash</t>
        </is>
      </c>
      <c r="E51" s="342" t="n">
        <v>3134</v>
      </c>
      <c r="F51" s="343" t="n">
        <v>3134</v>
      </c>
      <c r="G51" s="343" t="n">
        <v>3134</v>
      </c>
      <c r="H51" s="344" t="n"/>
      <c r="J51" s="342" t="n">
        <v>3134</v>
      </c>
      <c r="K51" s="343" t="n">
        <v>3134</v>
      </c>
      <c r="L51" s="343" t="n">
        <v>3134</v>
      </c>
      <c r="M51" s="344" t="n"/>
      <c r="O51" s="342" t="n">
        <v>3134</v>
      </c>
      <c r="P51" s="343" t="n">
        <v>3134</v>
      </c>
      <c r="Q51" s="343" t="n">
        <v>3134</v>
      </c>
      <c r="R51" s="344" t="n"/>
    </row>
    <row r="52" ht="18" customHeight="1">
      <c r="B52" t="inlineStr">
        <is>
          <t>Equity Value</t>
        </is>
      </c>
      <c r="E52" s="342">
        <f>E49-E50+E51</f>
        <v/>
      </c>
      <c r="F52" s="343">
        <f>F49-F50+F51</f>
        <v/>
      </c>
      <c r="G52" s="343">
        <f>G49-G50+G51</f>
        <v/>
      </c>
      <c r="H52" s="344" t="n"/>
      <c r="J52" s="342">
        <f>J49-J50+J51</f>
        <v/>
      </c>
      <c r="K52" s="343">
        <f>K49-K50+K51</f>
        <v/>
      </c>
      <c r="L52" s="343">
        <f>L49-L50+L51</f>
        <v/>
      </c>
      <c r="M52" s="344" t="n"/>
      <c r="O52" s="342">
        <f>O49-O50+O51</f>
        <v/>
      </c>
      <c r="P52" s="343">
        <f>P49-P50+P51</f>
        <v/>
      </c>
      <c r="Q52" s="343">
        <f>Q49-Q50+Q51</f>
        <v/>
      </c>
      <c r="R52" s="344" t="n"/>
    </row>
    <row r="53" ht="18" customHeight="1">
      <c r="B53" t="inlineStr">
        <is>
          <t>Shares O/S</t>
        </is>
      </c>
      <c r="E53" s="342" t="n">
        <v>72.73999999999999</v>
      </c>
      <c r="F53" s="343" t="n">
        <v>72.73999999999999</v>
      </c>
      <c r="G53" s="343" t="n">
        <v>72.73999999999999</v>
      </c>
      <c r="H53" s="344" t="n">
        <v>72.73999999999999</v>
      </c>
      <c r="J53" s="342" t="n">
        <v>72.73999999999999</v>
      </c>
      <c r="K53" s="343" t="n">
        <v>72.73999999999999</v>
      </c>
      <c r="L53" s="343" t="n">
        <v>72.73999999999999</v>
      </c>
      <c r="M53" s="344" t="n">
        <v>72.73999999999999</v>
      </c>
      <c r="O53" s="342" t="n">
        <v>72.73999999999999</v>
      </c>
      <c r="P53" s="343" t="n">
        <v>72.73999999999999</v>
      </c>
      <c r="Q53" s="343" t="n">
        <v>72.73999999999999</v>
      </c>
      <c r="R53" s="344" t="n">
        <v>72.73999999999999</v>
      </c>
    </row>
    <row r="54" ht="18" customHeight="1">
      <c r="A54" t="inlineStr">
        <is>
          <t>x</t>
        </is>
      </c>
      <c r="B54" s="7" t="inlineStr">
        <is>
          <t>Per Share Value</t>
        </is>
      </c>
      <c r="C54" s="7" t="n"/>
      <c r="D54" s="7" t="n"/>
      <c r="E54" s="345">
        <f>E52/E53</f>
        <v/>
      </c>
      <c r="F54" s="346">
        <f>F52/F53</f>
        <v/>
      </c>
      <c r="G54" s="346">
        <f>G52/G53</f>
        <v/>
      </c>
      <c r="H54" s="347">
        <f>H49/H53</f>
        <v/>
      </c>
      <c r="I54" s="7" t="n"/>
      <c r="J54" s="345">
        <f>J52/J53</f>
        <v/>
      </c>
      <c r="K54" s="346">
        <f>K52/K53</f>
        <v/>
      </c>
      <c r="L54" s="346">
        <f>L52/L53</f>
        <v/>
      </c>
      <c r="M54" s="347">
        <f>M49/M53</f>
        <v/>
      </c>
      <c r="N54" s="7" t="n"/>
      <c r="O54" s="345">
        <f>O52/O53</f>
        <v/>
      </c>
      <c r="P54" s="346">
        <f>P52/P53</f>
        <v/>
      </c>
      <c r="Q54" s="346">
        <f>Q52/Q53</f>
        <v/>
      </c>
      <c r="R54" s="347">
        <f>R49/R53</f>
        <v/>
      </c>
    </row>
    <row r="57" ht="18" customHeight="1">
      <c r="B57" s="112" t="inlineStr">
        <is>
          <t>Valuation using Lower Quartile Multiples</t>
        </is>
      </c>
    </row>
    <row r="58" ht="18" customHeight="1">
      <c r="E58" s="321" t="n">
        <v>2026</v>
      </c>
      <c r="F58" s="239" t="n"/>
      <c r="G58" s="239" t="n"/>
      <c r="H58" s="239" t="n"/>
      <c r="J58" s="322">
        <f>1+E58</f>
        <v/>
      </c>
      <c r="K58" s="239" t="n"/>
      <c r="L58" s="239" t="n"/>
      <c r="M58" s="239" t="n"/>
      <c r="O58" s="322">
        <f>J58+1</f>
        <v/>
      </c>
      <c r="P58" s="239" t="n"/>
      <c r="Q58" s="239" t="n"/>
      <c r="R58" s="239" t="n"/>
    </row>
    <row r="59" ht="4.95" customHeight="1">
      <c r="E59" s="321" t="n"/>
      <c r="F59" s="239" t="n"/>
      <c r="G59" s="239" t="n"/>
      <c r="H59" s="239" t="n"/>
      <c r="J59" s="322" t="n"/>
      <c r="K59" s="239" t="n"/>
      <c r="L59" s="239" t="n"/>
      <c r="M59" s="239" t="n"/>
      <c r="O59" s="322" t="n"/>
      <c r="P59" s="239" t="n"/>
      <c r="Q59" s="239" t="n"/>
      <c r="R59" s="239" t="n"/>
    </row>
    <row r="60" ht="18" customHeight="1">
      <c r="E60" s="280" t="inlineStr">
        <is>
          <t>EV/Revenue</t>
        </is>
      </c>
      <c r="F60" s="281" t="inlineStr">
        <is>
          <t>EV/EBITDA</t>
        </is>
      </c>
      <c r="G60" s="281" t="inlineStr">
        <is>
          <t>EV/EBIT</t>
        </is>
      </c>
      <c r="H60" s="282" t="inlineStr">
        <is>
          <t>P/E</t>
        </is>
      </c>
      <c r="J60" s="280" t="inlineStr">
        <is>
          <t>EV/Revenue</t>
        </is>
      </c>
      <c r="K60" s="281" t="inlineStr">
        <is>
          <t>EV/EBITDA</t>
        </is>
      </c>
      <c r="L60" s="281" t="inlineStr">
        <is>
          <t>EV/EBIT</t>
        </is>
      </c>
      <c r="M60" s="282" t="inlineStr">
        <is>
          <t>P/E</t>
        </is>
      </c>
      <c r="O60" s="280" t="inlineStr">
        <is>
          <t>EV/Revenue</t>
        </is>
      </c>
      <c r="P60" s="281" t="inlineStr">
        <is>
          <t>EV/EBITDA</t>
        </is>
      </c>
      <c r="Q60" s="281" t="inlineStr">
        <is>
          <t>EV/EBIT</t>
        </is>
      </c>
      <c r="R60" s="282" t="inlineStr">
        <is>
          <t>P/E</t>
        </is>
      </c>
    </row>
    <row r="61" ht="18" customHeight="1">
      <c r="B61" t="inlineStr">
        <is>
          <t>Enterprise Value &amp; Market Cap(P/E)</t>
        </is>
      </c>
      <c r="E61" s="342">
        <f>E29*E12</f>
        <v/>
      </c>
      <c r="F61" s="343">
        <f>F29*F12</f>
        <v/>
      </c>
      <c r="G61" s="343">
        <f>G29*G12</f>
        <v/>
      </c>
      <c r="H61" s="344">
        <f>H29*H12</f>
        <v/>
      </c>
      <c r="J61" s="342">
        <f>J29*J12</f>
        <v/>
      </c>
      <c r="K61" s="343">
        <f>K29*K12</f>
        <v/>
      </c>
      <c r="L61" s="343">
        <f>L29*L12</f>
        <v/>
      </c>
      <c r="M61" s="344">
        <f>M29*M12</f>
        <v/>
      </c>
      <c r="N61" s="342" t="n"/>
      <c r="O61" s="342">
        <f>O29*O12</f>
        <v/>
      </c>
      <c r="P61" s="343">
        <f>P29*P12</f>
        <v/>
      </c>
      <c r="Q61" s="343">
        <f>Q29*Q12</f>
        <v/>
      </c>
      <c r="R61" s="344">
        <f>R29*R12</f>
        <v/>
      </c>
    </row>
    <row r="62" ht="18" customHeight="1">
      <c r="B62" t="inlineStr">
        <is>
          <t>Debt</t>
        </is>
      </c>
      <c r="E62" s="342" t="n">
        <v>407</v>
      </c>
      <c r="F62" s="343" t="n">
        <v>407</v>
      </c>
      <c r="G62" s="343" t="n">
        <v>407</v>
      </c>
      <c r="H62" s="344" t="n"/>
      <c r="J62" s="342" t="n">
        <v>407</v>
      </c>
      <c r="K62" s="343" t="n">
        <v>407</v>
      </c>
      <c r="L62" s="343" t="n">
        <v>407</v>
      </c>
      <c r="M62" s="344" t="n"/>
      <c r="N62" s="342" t="n"/>
      <c r="O62" s="342" t="n">
        <v>407</v>
      </c>
      <c r="P62" s="343" t="n">
        <v>407</v>
      </c>
      <c r="Q62" s="343" t="n">
        <v>407</v>
      </c>
      <c r="R62" s="344" t="n"/>
    </row>
    <row r="63" ht="18" customHeight="1">
      <c r="B63" t="inlineStr">
        <is>
          <t>Cash</t>
        </is>
      </c>
      <c r="E63" s="342" t="n">
        <v>3134</v>
      </c>
      <c r="F63" s="343" t="n">
        <v>3134</v>
      </c>
      <c r="G63" s="343" t="n">
        <v>3134</v>
      </c>
      <c r="H63" s="344" t="n"/>
      <c r="J63" s="342" t="n">
        <v>3134</v>
      </c>
      <c r="K63" s="343" t="n">
        <v>3134</v>
      </c>
      <c r="L63" s="343" t="n">
        <v>3134</v>
      </c>
      <c r="M63" s="344" t="n"/>
      <c r="N63" s="342" t="n"/>
      <c r="O63" s="342" t="n">
        <v>3134</v>
      </c>
      <c r="P63" s="343" t="n">
        <v>3134</v>
      </c>
      <c r="Q63" s="343" t="n">
        <v>3134</v>
      </c>
      <c r="R63" s="344" t="n"/>
    </row>
    <row r="64" ht="18" customHeight="1">
      <c r="B64" t="inlineStr">
        <is>
          <t>Equity Value</t>
        </is>
      </c>
      <c r="E64" s="342">
        <f>E61-E62+E63</f>
        <v/>
      </c>
      <c r="F64" s="343">
        <f>F61-F62+F63</f>
        <v/>
      </c>
      <c r="G64" s="343">
        <f>G61-G62+G63</f>
        <v/>
      </c>
      <c r="H64" s="344" t="n"/>
      <c r="J64" s="342">
        <f>J61-J62+J63</f>
        <v/>
      </c>
      <c r="K64" s="343">
        <f>K61-K62+K63</f>
        <v/>
      </c>
      <c r="L64" s="343">
        <f>L61-L62+L63</f>
        <v/>
      </c>
      <c r="M64" s="344" t="n"/>
      <c r="N64" s="342" t="n"/>
      <c r="O64" s="342">
        <f>O61-O62+O63</f>
        <v/>
      </c>
      <c r="P64" s="343">
        <f>P61-P62+P63</f>
        <v/>
      </c>
      <c r="Q64" s="343">
        <f>Q61-Q62+Q63</f>
        <v/>
      </c>
      <c r="R64" s="344" t="n"/>
    </row>
    <row r="65" ht="18" customHeight="1">
      <c r="B65" t="inlineStr">
        <is>
          <t>Shares O/S</t>
        </is>
      </c>
      <c r="E65" s="342" t="n">
        <v>72.73999999999999</v>
      </c>
      <c r="F65" s="343" t="n">
        <v>72.73999999999999</v>
      </c>
      <c r="G65" s="343" t="n">
        <v>72.73999999999999</v>
      </c>
      <c r="H65" s="344" t="n">
        <v>72.73999999999999</v>
      </c>
      <c r="J65" s="342" t="n">
        <v>72.73999999999999</v>
      </c>
      <c r="K65" s="343" t="n">
        <v>72.73999999999999</v>
      </c>
      <c r="L65" s="343" t="n">
        <v>72.73999999999999</v>
      </c>
      <c r="M65" s="344" t="n">
        <v>72.73999999999999</v>
      </c>
      <c r="N65" s="342" t="n"/>
      <c r="O65" s="342" t="n">
        <v>72.73999999999999</v>
      </c>
      <c r="P65" s="343" t="n">
        <v>72.73999999999999</v>
      </c>
      <c r="Q65" s="343" t="n">
        <v>72.73999999999999</v>
      </c>
      <c r="R65" s="344" t="n">
        <v>72.73999999999999</v>
      </c>
    </row>
    <row r="66" ht="18" customHeight="1">
      <c r="A66" t="inlineStr">
        <is>
          <t>x</t>
        </is>
      </c>
      <c r="B66" s="7" t="inlineStr">
        <is>
          <t>Per Share Value</t>
        </is>
      </c>
      <c r="C66" s="7" t="n"/>
      <c r="D66" s="7" t="n"/>
      <c r="E66" s="345">
        <f>E64/E65</f>
        <v/>
      </c>
      <c r="F66" s="346">
        <f>F64/F65</f>
        <v/>
      </c>
      <c r="G66" s="346">
        <f>G64/G65</f>
        <v/>
      </c>
      <c r="H66" s="347">
        <f>H61/H65</f>
        <v/>
      </c>
      <c r="I66" s="7" t="n"/>
      <c r="J66" s="345">
        <f>J64/J65</f>
        <v/>
      </c>
      <c r="K66" s="346">
        <f>K64/K65</f>
        <v/>
      </c>
      <c r="L66" s="346">
        <f>L64/L65</f>
        <v/>
      </c>
      <c r="M66" s="347">
        <f>M61/M65</f>
        <v/>
      </c>
      <c r="N66" s="348" t="n"/>
      <c r="O66" s="345">
        <f>O64/O65</f>
        <v/>
      </c>
      <c r="P66" s="346">
        <f>P64/P65</f>
        <v/>
      </c>
      <c r="Q66" s="346">
        <f>Q64/Q65</f>
        <v/>
      </c>
      <c r="R66" s="347">
        <f>R61/R65</f>
        <v/>
      </c>
    </row>
    <row r="69" ht="18" customHeight="1">
      <c r="B69" s="112" t="inlineStr">
        <is>
          <t>Valuation using Upper Quartile Multiples</t>
        </is>
      </c>
    </row>
    <row r="70" ht="18" customHeight="1">
      <c r="E70" s="321" t="n">
        <v>2026</v>
      </c>
      <c r="F70" s="239" t="n"/>
      <c r="G70" s="239" t="n"/>
      <c r="H70" s="239" t="n"/>
      <c r="J70" s="322">
        <f>1+E70</f>
        <v/>
      </c>
      <c r="K70" s="239" t="n"/>
      <c r="L70" s="239" t="n"/>
      <c r="M70" s="239" t="n"/>
      <c r="O70" s="322">
        <f>J70+1</f>
        <v/>
      </c>
      <c r="P70" s="239" t="n"/>
      <c r="Q70" s="239" t="n"/>
      <c r="R70" s="239" t="n"/>
    </row>
    <row r="71" ht="4.95" customHeight="1">
      <c r="E71" s="321" t="n"/>
      <c r="F71" s="239" t="n"/>
      <c r="G71" s="239" t="n"/>
      <c r="H71" s="239" t="n"/>
      <c r="J71" s="322" t="n"/>
      <c r="K71" s="239" t="n"/>
      <c r="L71" s="239" t="n"/>
      <c r="M71" s="239" t="n"/>
      <c r="O71" s="322" t="n"/>
      <c r="P71" s="239" t="n"/>
      <c r="Q71" s="239" t="n"/>
      <c r="R71" s="239" t="n"/>
    </row>
    <row r="72" ht="18" customHeight="1">
      <c r="E72" s="280" t="inlineStr">
        <is>
          <t>EV/Revenue</t>
        </is>
      </c>
      <c r="F72" s="281" t="inlineStr">
        <is>
          <t>EV/EBITDA</t>
        </is>
      </c>
      <c r="G72" s="281" t="inlineStr">
        <is>
          <t>EV/EBIT</t>
        </is>
      </c>
      <c r="H72" s="282" t="inlineStr">
        <is>
          <t>P/E</t>
        </is>
      </c>
      <c r="J72" s="280" t="inlineStr">
        <is>
          <t>EV/Revenue</t>
        </is>
      </c>
      <c r="K72" s="281" t="inlineStr">
        <is>
          <t>EV/EBITDA</t>
        </is>
      </c>
      <c r="L72" s="281" t="inlineStr">
        <is>
          <t>EV/EBIT</t>
        </is>
      </c>
      <c r="M72" s="282" t="inlineStr">
        <is>
          <t>P/E</t>
        </is>
      </c>
      <c r="O72" s="280" t="inlineStr">
        <is>
          <t>EV/Revenue</t>
        </is>
      </c>
      <c r="P72" s="281" t="inlineStr">
        <is>
          <t>EV/EBITDA</t>
        </is>
      </c>
      <c r="Q72" s="281" t="inlineStr">
        <is>
          <t>EV/EBIT</t>
        </is>
      </c>
      <c r="R72" s="282" t="inlineStr">
        <is>
          <t>P/E</t>
        </is>
      </c>
    </row>
    <row r="73" ht="18" customHeight="1">
      <c r="B73" t="inlineStr">
        <is>
          <t>Enterprise Value &amp; Market Cap(P/E)</t>
        </is>
      </c>
      <c r="E73" s="342">
        <f>E30*E12</f>
        <v/>
      </c>
      <c r="F73" s="343">
        <f>F30*F12</f>
        <v/>
      </c>
      <c r="G73" s="343">
        <f>G30*G12</f>
        <v/>
      </c>
      <c r="H73" s="344">
        <f>H30*H12</f>
        <v/>
      </c>
      <c r="J73" s="168">
        <f>J30*J12</f>
        <v/>
      </c>
      <c r="K73">
        <f>K30*K12</f>
        <v/>
      </c>
      <c r="L73">
        <f>L30*L12</f>
        <v/>
      </c>
      <c r="M73" s="262">
        <f>M30*M12</f>
        <v/>
      </c>
      <c r="O73" s="168">
        <f>O30*O12</f>
        <v/>
      </c>
      <c r="P73">
        <f>P30*P12</f>
        <v/>
      </c>
      <c r="Q73">
        <f>Q30*Q12</f>
        <v/>
      </c>
      <c r="R73" s="262">
        <f>R30*R12</f>
        <v/>
      </c>
    </row>
    <row r="74" ht="18" customHeight="1">
      <c r="B74" t="inlineStr">
        <is>
          <t>Debt</t>
        </is>
      </c>
      <c r="E74" s="342" t="n">
        <v>407</v>
      </c>
      <c r="F74" s="343" t="n">
        <v>407</v>
      </c>
      <c r="G74" s="343" t="n">
        <v>407</v>
      </c>
      <c r="H74" s="344" t="n"/>
      <c r="J74" s="168" t="n">
        <v>407</v>
      </c>
      <c r="K74" t="n">
        <v>407</v>
      </c>
      <c r="L74" t="n">
        <v>407</v>
      </c>
      <c r="M74" s="262" t="n"/>
      <c r="O74" s="168" t="n">
        <v>407</v>
      </c>
      <c r="P74" t="n">
        <v>407</v>
      </c>
      <c r="Q74" t="n">
        <v>407</v>
      </c>
      <c r="R74" s="262" t="n"/>
    </row>
    <row r="75" ht="18" customHeight="1">
      <c r="B75" t="inlineStr">
        <is>
          <t>Cash</t>
        </is>
      </c>
      <c r="E75" s="342" t="n">
        <v>3134</v>
      </c>
      <c r="F75" s="343" t="n">
        <v>3134</v>
      </c>
      <c r="G75" s="343" t="n">
        <v>3134</v>
      </c>
      <c r="H75" s="344" t="n"/>
      <c r="J75" s="168" t="n">
        <v>3134</v>
      </c>
      <c r="K75" t="n">
        <v>3134</v>
      </c>
      <c r="L75" t="n">
        <v>3134</v>
      </c>
      <c r="M75" s="262" t="n"/>
      <c r="O75" s="168" t="n">
        <v>3134</v>
      </c>
      <c r="P75" t="n">
        <v>3134</v>
      </c>
      <c r="Q75" t="n">
        <v>3134</v>
      </c>
      <c r="R75" s="262" t="n"/>
    </row>
    <row r="76" ht="18" customHeight="1">
      <c r="B76" t="inlineStr">
        <is>
          <t>Equity Value</t>
        </is>
      </c>
      <c r="E76" s="342">
        <f>E73-E74+E75</f>
        <v/>
      </c>
      <c r="F76" s="343">
        <f>F73-F74+F75</f>
        <v/>
      </c>
      <c r="G76" s="343">
        <f>G73-G74+G75</f>
        <v/>
      </c>
      <c r="H76" s="344" t="n"/>
      <c r="J76" s="168">
        <f>J73-J74+J75</f>
        <v/>
      </c>
      <c r="K76">
        <f>K73-K74+K75</f>
        <v/>
      </c>
      <c r="L76">
        <f>L73-L74+L75</f>
        <v/>
      </c>
      <c r="M76" s="262" t="n"/>
      <c r="O76" s="168">
        <f>O73-O74+O75</f>
        <v/>
      </c>
      <c r="P76">
        <f>P73-P74+P75</f>
        <v/>
      </c>
      <c r="Q76">
        <f>Q73-Q74+Q75</f>
        <v/>
      </c>
      <c r="R76" s="262" t="n"/>
    </row>
    <row r="77" ht="18" customHeight="1">
      <c r="B77" t="inlineStr">
        <is>
          <t>Shares O/S</t>
        </is>
      </c>
      <c r="E77" s="342" t="n">
        <v>72.73999999999999</v>
      </c>
      <c r="F77" s="343" t="n">
        <v>72.73999999999999</v>
      </c>
      <c r="G77" s="343" t="n">
        <v>72.73999999999999</v>
      </c>
      <c r="H77" s="344" t="n">
        <v>72.73999999999999</v>
      </c>
      <c r="J77" s="168" t="n">
        <v>72.73999999999999</v>
      </c>
      <c r="K77" t="n">
        <v>72.73999999999999</v>
      </c>
      <c r="L77" t="n">
        <v>72.73999999999999</v>
      </c>
      <c r="M77" s="262" t="n">
        <v>72.73999999999999</v>
      </c>
      <c r="O77" s="168" t="n">
        <v>72.73999999999999</v>
      </c>
      <c r="P77" t="n">
        <v>72.73999999999999</v>
      </c>
      <c r="Q77" t="n">
        <v>72.73999999999999</v>
      </c>
      <c r="R77" s="262" t="n">
        <v>72.73999999999999</v>
      </c>
    </row>
    <row r="78" ht="18" customHeight="1">
      <c r="A78" t="inlineStr">
        <is>
          <t>x</t>
        </is>
      </c>
      <c r="B78" s="7" t="inlineStr">
        <is>
          <t>Per Share Value</t>
        </is>
      </c>
      <c r="C78" s="7" t="n"/>
      <c r="D78" s="7" t="n"/>
      <c r="E78" s="345">
        <f>E76/E77</f>
        <v/>
      </c>
      <c r="F78" s="346">
        <f>F76/F77</f>
        <v/>
      </c>
      <c r="G78" s="346">
        <f>G76/G77</f>
        <v/>
      </c>
      <c r="H78" s="347">
        <f>H73/H77</f>
        <v/>
      </c>
      <c r="I78" s="7" t="n"/>
      <c r="J78" s="179">
        <f>J76/J77</f>
        <v/>
      </c>
      <c r="K78" s="309">
        <f>K76/K77</f>
        <v/>
      </c>
      <c r="L78" s="309">
        <f>L76/L77</f>
        <v/>
      </c>
      <c r="M78" s="310">
        <f>M73/M77</f>
        <v/>
      </c>
      <c r="N78" s="7" t="n"/>
      <c r="O78" s="179">
        <f>O76/O77</f>
        <v/>
      </c>
      <c r="P78" s="309">
        <f>P76/P77</f>
        <v/>
      </c>
      <c r="Q78" s="309">
        <f>Q76/Q77</f>
        <v/>
      </c>
      <c r="R78" s="310">
        <f>R73/R77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7"/>
  <sheetViews>
    <sheetView showGridLines="0" topLeftCell="A2" workbookViewId="0">
      <selection activeCell="E25" sqref="E25"/>
    </sheetView>
  </sheetViews>
  <sheetFormatPr baseColWidth="8" defaultRowHeight="14.4"/>
  <cols>
    <col width="17.21875" bestFit="1" customWidth="1" min="2" max="2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.21875" customWidth="1" min="14" max="14"/>
  </cols>
  <sheetData>
    <row r="2">
      <c r="B2" t="inlineStr">
        <is>
          <t>Assumptions</t>
        </is>
      </c>
    </row>
    <row r="4">
      <c r="B4" s="7" t="inlineStr">
        <is>
          <t>Particulars</t>
        </is>
      </c>
      <c r="E4" s="90" t="n">
        <v>2027</v>
      </c>
      <c r="F4" s="90">
        <f>E4+1</f>
        <v/>
      </c>
      <c r="G4" s="90">
        <f>F4+1</f>
        <v/>
      </c>
      <c r="H4" s="90">
        <f>G4+1</f>
        <v/>
      </c>
      <c r="I4" s="90">
        <f>H4+1</f>
        <v/>
      </c>
      <c r="J4" s="90">
        <f>I4+1</f>
        <v/>
      </c>
      <c r="K4" s="90">
        <f>J4+1</f>
        <v/>
      </c>
      <c r="L4" s="90">
        <f>K4+1</f>
        <v/>
      </c>
    </row>
    <row r="6">
      <c r="B6" t="inlineStr">
        <is>
          <t>Cost of Goods Sold(COGS)</t>
        </is>
      </c>
    </row>
    <row r="7" ht="14.4" customHeight="1">
      <c r="B7" t="inlineStr">
        <is>
          <t>Employee Cost as % of Sales</t>
        </is>
      </c>
      <c r="E7" s="349" t="n">
        <v>0.06254554954505914</v>
      </c>
      <c r="F7" s="349" t="n">
        <v>0.06254554954505914</v>
      </c>
      <c r="G7" s="349" t="n">
        <v>0.06254554954505914</v>
      </c>
      <c r="H7" s="349" t="n">
        <v>0.06254554954505914</v>
      </c>
      <c r="I7" s="349" t="n">
        <v>0.06254554954505914</v>
      </c>
      <c r="J7" s="349" t="n">
        <v>0.06254554954505914</v>
      </c>
      <c r="K7" s="349" t="n">
        <v>0.06254554954505914</v>
      </c>
      <c r="L7" s="349" t="n">
        <v>0.06254554954505914</v>
      </c>
      <c r="N7" t="inlineStr">
        <is>
          <t>Median of Last 10 Years</t>
        </is>
      </c>
    </row>
    <row r="8">
      <c r="B8" t="inlineStr">
        <is>
          <t>Selling and admin as % of Sales</t>
        </is>
      </c>
      <c r="E8" s="349" t="n">
        <v>0.205</v>
      </c>
      <c r="F8" s="349" t="n">
        <v>0.205</v>
      </c>
      <c r="G8" s="349" t="n">
        <v>0.205</v>
      </c>
      <c r="H8" s="349" t="n">
        <v>0.205</v>
      </c>
      <c r="I8" s="349" t="n">
        <v>0.205</v>
      </c>
      <c r="J8" s="349" t="n">
        <v>0.205</v>
      </c>
      <c r="K8" s="349" t="n">
        <v>0.205</v>
      </c>
      <c r="L8" s="349" t="n">
        <v>0.205</v>
      </c>
      <c r="N8" t="inlineStr">
        <is>
          <t>Median of Last 10 Years</t>
        </is>
      </c>
    </row>
    <row r="9">
      <c r="B9" t="inlineStr">
        <is>
          <t>Interest Income</t>
        </is>
      </c>
      <c r="E9" s="78" t="n">
        <v>0.065</v>
      </c>
      <c r="F9" s="78" t="n">
        <v>0.065</v>
      </c>
      <c r="G9" s="78" t="n">
        <v>0.065</v>
      </c>
      <c r="H9" s="78" t="n">
        <v>0.065</v>
      </c>
      <c r="I9" s="78" t="n">
        <v>0.065</v>
      </c>
      <c r="J9" s="78" t="n">
        <v>0.065</v>
      </c>
      <c r="K9" s="78" t="n">
        <v>0.065</v>
      </c>
      <c r="L9" s="78" t="n">
        <v>0.065</v>
      </c>
      <c r="N9" t="inlineStr">
        <is>
          <t>Market Yield on MFs, Depoists, investments</t>
        </is>
      </c>
    </row>
    <row r="10">
      <c r="B10" t="inlineStr">
        <is>
          <t>Tax Rate</t>
        </is>
      </c>
      <c r="E10" s="78" t="n">
        <v>0.25</v>
      </c>
      <c r="F10" s="78" t="n">
        <v>0.25</v>
      </c>
      <c r="G10" s="78" t="n">
        <v>0.25</v>
      </c>
      <c r="H10" s="78" t="n">
        <v>0.25</v>
      </c>
      <c r="I10" s="78" t="n">
        <v>0.25</v>
      </c>
      <c r="J10" s="78" t="n">
        <v>0.25</v>
      </c>
      <c r="K10" s="78" t="n">
        <v>0.25</v>
      </c>
      <c r="L10" s="78" t="n">
        <v>0.25</v>
      </c>
    </row>
    <row r="11">
      <c r="B11" t="inlineStr">
        <is>
          <t>Dividend Payout Ratio</t>
        </is>
      </c>
      <c r="E11" s="78" t="n">
        <v>0.67</v>
      </c>
      <c r="F11" s="78" t="n">
        <v>0.67</v>
      </c>
      <c r="G11" s="78" t="n">
        <v>0.67</v>
      </c>
      <c r="H11" s="78" t="n">
        <v>0.67</v>
      </c>
      <c r="I11" s="78" t="n">
        <v>0.67</v>
      </c>
      <c r="J11" s="78" t="n">
        <v>0.67</v>
      </c>
      <c r="K11" s="78" t="n">
        <v>0.67</v>
      </c>
      <c r="L11" s="78" t="n">
        <v>0.67</v>
      </c>
      <c r="N11" t="inlineStr">
        <is>
          <t>Constant FY 26</t>
        </is>
      </c>
    </row>
    <row r="12">
      <c r="B12" s="121" t="inlineStr">
        <is>
          <t>Total capex as % of NSV</t>
        </is>
      </c>
      <c r="E12" s="259" t="n">
        <v>0.015</v>
      </c>
      <c r="F12" s="259" t="n">
        <v>0.015</v>
      </c>
      <c r="G12" s="259" t="n">
        <v>0.015</v>
      </c>
      <c r="H12" s="259" t="n">
        <v>0.015</v>
      </c>
      <c r="I12" s="259" t="n">
        <v>0.015</v>
      </c>
      <c r="J12" s="259" t="n">
        <v>0.015</v>
      </c>
      <c r="K12" s="259" t="n">
        <v>0.015</v>
      </c>
      <c r="L12" s="259" t="n">
        <v>0.015</v>
      </c>
      <c r="N12" t="inlineStr">
        <is>
          <t>Median of last 5 years</t>
        </is>
      </c>
    </row>
    <row r="13">
      <c r="B13" s="121" t="inlineStr">
        <is>
          <t>PPE Capex as % of NSV</t>
        </is>
      </c>
      <c r="E13" s="259" t="n">
        <v>0.014</v>
      </c>
      <c r="F13" s="259" t="n">
        <v>0.014</v>
      </c>
      <c r="G13" s="259" t="n">
        <v>0.014</v>
      </c>
      <c r="H13" s="259" t="n">
        <v>0.014</v>
      </c>
      <c r="I13" s="259" t="n">
        <v>0.014</v>
      </c>
      <c r="J13" s="259" t="n">
        <v>0.014</v>
      </c>
      <c r="K13" s="259" t="n">
        <v>0.014</v>
      </c>
      <c r="L13" s="259" t="n">
        <v>0.014</v>
      </c>
      <c r="N13" t="inlineStr">
        <is>
          <t>Median of last 4 years</t>
        </is>
      </c>
    </row>
    <row r="14">
      <c r="B14" s="121" t="inlineStr">
        <is>
          <t>Amortisation as % of Opening Balance</t>
        </is>
      </c>
      <c r="E14" s="259" t="n">
        <v>0.04</v>
      </c>
      <c r="F14" s="259" t="n">
        <v>0.04</v>
      </c>
      <c r="G14" s="259" t="n">
        <v>0.04</v>
      </c>
      <c r="H14" s="259" t="n">
        <v>0.04</v>
      </c>
      <c r="I14" s="259" t="n">
        <v>0.04</v>
      </c>
      <c r="J14" s="259" t="n">
        <v>0.04</v>
      </c>
      <c r="K14" s="259" t="n">
        <v>0.04</v>
      </c>
      <c r="L14" s="259" t="n">
        <v>0.04</v>
      </c>
      <c r="N14" t="inlineStr">
        <is>
          <t>Median of last 5 years</t>
        </is>
      </c>
    </row>
    <row r="15">
      <c r="B15" s="120" t="inlineStr">
        <is>
          <t>ROU additions as % of NSV</t>
        </is>
      </c>
      <c r="E15" s="349" t="n">
        <v>0.022</v>
      </c>
      <c r="F15" s="349" t="n">
        <v>0.022</v>
      </c>
      <c r="G15" s="349" t="n">
        <v>0.022</v>
      </c>
      <c r="H15" s="349" t="n">
        <v>0.022</v>
      </c>
      <c r="I15" s="349" t="n">
        <v>0.022</v>
      </c>
      <c r="J15" s="349" t="n">
        <v>0.022</v>
      </c>
      <c r="K15" s="349" t="n">
        <v>0.022</v>
      </c>
      <c r="L15" s="349" t="n">
        <v>0.022</v>
      </c>
      <c r="N15" t="inlineStr">
        <is>
          <t>Median of last 4 years</t>
        </is>
      </c>
    </row>
    <row r="16">
      <c r="B16" s="120" t="inlineStr">
        <is>
          <t>ROU amortisation as % of (opening + 1/2 additions)</t>
        </is>
      </c>
      <c r="E16" s="349" t="n">
        <v>0.3</v>
      </c>
      <c r="F16" s="349" t="n">
        <v>0.3</v>
      </c>
      <c r="G16" s="349" t="n">
        <v>0.3</v>
      </c>
      <c r="H16" s="349" t="n">
        <v>0.3</v>
      </c>
      <c r="I16" s="349" t="n">
        <v>0.3</v>
      </c>
      <c r="J16" s="349" t="n">
        <v>0.3</v>
      </c>
      <c r="K16" s="349" t="n">
        <v>0.3</v>
      </c>
      <c r="L16" s="349" t="n">
        <v>0.3</v>
      </c>
    </row>
    <row r="17">
      <c r="B17" t="inlineStr">
        <is>
          <t>Depreciation useful life</t>
        </is>
      </c>
      <c r="E17" s="128" t="n">
        <v>16</v>
      </c>
      <c r="F17" s="128" t="n">
        <v>16</v>
      </c>
      <c r="G17" s="128" t="n">
        <v>16</v>
      </c>
      <c r="H17" s="128" t="n">
        <v>16</v>
      </c>
      <c r="I17" s="128" t="n">
        <v>16</v>
      </c>
      <c r="J17" s="128" t="n">
        <v>16</v>
      </c>
      <c r="K17" s="128" t="n">
        <v>16</v>
      </c>
      <c r="L17" s="128" t="n">
        <v>16</v>
      </c>
      <c r="N17" t="inlineStr">
        <is>
          <t>1/6.2%(Average of last 5 years)</t>
        </is>
      </c>
    </row>
    <row r="18">
      <c r="B18" t="inlineStr">
        <is>
          <t>Principal Reyament</t>
        </is>
      </c>
      <c r="E18" s="108" t="n">
        <v>0.07000000000000001</v>
      </c>
      <c r="F18" s="108" t="n">
        <v>0.07000000000000001</v>
      </c>
      <c r="G18" s="108" t="n">
        <v>0.07000000000000001</v>
      </c>
      <c r="H18" s="108" t="n">
        <v>0.07000000000000001</v>
      </c>
      <c r="I18" s="108" t="n">
        <v>0.07000000000000001</v>
      </c>
      <c r="J18" s="108" t="n">
        <v>0.07000000000000001</v>
      </c>
      <c r="K18" s="108" t="n">
        <v>0.07000000000000001</v>
      </c>
      <c r="L18" s="108" t="n">
        <v>0.07000000000000001</v>
      </c>
      <c r="N18" t="inlineStr">
        <is>
          <t>Historical median of last 4 years</t>
        </is>
      </c>
    </row>
    <row r="19">
      <c r="B19" t="inlineStr">
        <is>
          <t>Interest rate on lease liabilities</t>
        </is>
      </c>
      <c r="E19" s="57" t="n">
        <v>0.08500000000000001</v>
      </c>
      <c r="F19" s="57" t="n">
        <v>0.08500000000000001</v>
      </c>
      <c r="G19" s="57" t="n">
        <v>0.08500000000000001</v>
      </c>
      <c r="H19" s="57" t="n">
        <v>0.08500000000000001</v>
      </c>
      <c r="I19" s="57" t="n">
        <v>0.08500000000000001</v>
      </c>
      <c r="J19" s="57" t="n">
        <v>0.08500000000000001</v>
      </c>
      <c r="K19" s="57" t="n">
        <v>0.08500000000000001</v>
      </c>
      <c r="L19" s="57" t="n">
        <v>0.08500000000000001</v>
      </c>
      <c r="N19" t="inlineStr">
        <is>
          <t>Historical median intt rate of last 4 years</t>
        </is>
      </c>
    </row>
    <row r="20">
      <c r="B20" t="inlineStr">
        <is>
          <t>Interest rate on borrowings</t>
        </is>
      </c>
      <c r="E20" s="108" t="n">
        <v>0</v>
      </c>
      <c r="F20" s="108" t="n">
        <v>0</v>
      </c>
      <c r="G20" s="108" t="n">
        <v>0</v>
      </c>
      <c r="H20" s="108" t="n">
        <v>0</v>
      </c>
      <c r="I20" s="108" t="n">
        <v>0</v>
      </c>
      <c r="J20" s="108" t="n">
        <v>0</v>
      </c>
      <c r="K20" s="108" t="n">
        <v>0</v>
      </c>
      <c r="L20" s="108" t="n">
        <v>0</v>
      </c>
    </row>
    <row r="21">
      <c r="B21" t="inlineStr">
        <is>
          <t>Interest others</t>
        </is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55</v>
      </c>
      <c r="K21" t="n">
        <v>55</v>
      </c>
      <c r="L21" t="n">
        <v>55</v>
      </c>
      <c r="N21" t="inlineStr">
        <is>
          <t>Median of last 5 years</t>
        </is>
      </c>
    </row>
    <row r="22">
      <c r="B22" t="inlineStr">
        <is>
          <t>Trade Payables</t>
        </is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N22" t="inlineStr">
        <is>
          <t>Median of last 3 Years</t>
        </is>
      </c>
    </row>
    <row r="23">
      <c r="B23" t="inlineStr">
        <is>
          <t>ST Provisions as % of Sales</t>
        </is>
      </c>
      <c r="E23" s="57" t="n">
        <v>0.044</v>
      </c>
      <c r="F23" s="57" t="n">
        <v>0.044</v>
      </c>
      <c r="G23" s="57" t="n">
        <v>0.044</v>
      </c>
      <c r="H23" s="57" t="n">
        <v>0.044</v>
      </c>
      <c r="I23" s="57" t="n">
        <v>0.044</v>
      </c>
      <c r="J23" s="57" t="n">
        <v>0.044</v>
      </c>
      <c r="K23" s="57" t="n">
        <v>0.044</v>
      </c>
      <c r="L23" s="57" t="n">
        <v>0.044</v>
      </c>
      <c r="N23" t="inlineStr">
        <is>
          <t>Average of Last 9 years</t>
        </is>
      </c>
    </row>
    <row r="24">
      <c r="B24" t="inlineStr">
        <is>
          <t>Other Current Liabilities as % of Sales</t>
        </is>
      </c>
      <c r="E24" s="108" t="n">
        <v>0.16</v>
      </c>
      <c r="F24" s="108" t="n">
        <v>0.16</v>
      </c>
      <c r="G24" s="108" t="n">
        <v>0.16</v>
      </c>
      <c r="H24" s="108" t="n">
        <v>0.16</v>
      </c>
      <c r="I24" s="108" t="n">
        <v>0.16</v>
      </c>
      <c r="J24" s="108" t="n">
        <v>0.16</v>
      </c>
      <c r="K24" s="108" t="n">
        <v>0.16</v>
      </c>
      <c r="L24" s="108" t="n">
        <v>0.16</v>
      </c>
      <c r="N24" t="inlineStr">
        <is>
          <t>Median of last 10years</t>
        </is>
      </c>
    </row>
    <row r="25">
      <c r="B25" t="inlineStr">
        <is>
          <t>Accounts Receivables days</t>
        </is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97</v>
      </c>
      <c r="K25" t="n">
        <v>97</v>
      </c>
      <c r="L25" t="n">
        <v>97</v>
      </c>
      <c r="N25" t="inlineStr">
        <is>
          <t>Historical Median of Last 10 Years</t>
        </is>
      </c>
    </row>
    <row r="26">
      <c r="B26" t="inlineStr">
        <is>
          <t>Inventory Days</t>
        </is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135</v>
      </c>
      <c r="K26" t="n">
        <v>135</v>
      </c>
      <c r="L26" t="n">
        <v>135</v>
      </c>
      <c r="N26" t="inlineStr">
        <is>
          <t>Historical Median of Last 10 Years</t>
        </is>
      </c>
    </row>
    <row r="27">
      <c r="B27" t="inlineStr">
        <is>
          <t>Other Current assets as % of Sales</t>
        </is>
      </c>
      <c r="E27" s="57" t="n">
        <v>0.055</v>
      </c>
      <c r="F27" s="57" t="n">
        <v>0.055</v>
      </c>
      <c r="G27" s="57" t="n">
        <v>0.055</v>
      </c>
      <c r="H27" s="57" t="n">
        <v>0.055</v>
      </c>
      <c r="I27" s="57" t="n">
        <v>0.055</v>
      </c>
      <c r="J27" s="57" t="n">
        <v>0.055</v>
      </c>
      <c r="K27" s="57" t="n">
        <v>0.055</v>
      </c>
      <c r="L27" s="57" t="n">
        <v>0.055</v>
      </c>
      <c r="N27" t="inlineStr">
        <is>
          <t>Historical Median of Last 10 Years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xSplit="2" ySplit="4" topLeftCell="G6" activePane="bottomRight" state="frozen"/>
      <selection pane="topRight" activeCell="C1" sqref="C1"/>
      <selection pane="bottomLeft" activeCell="A5" sqref="A5"/>
      <selection pane="bottomRight" activeCell="M38" sqref="M38"/>
    </sheetView>
  </sheetViews>
  <sheetFormatPr baseColWidth="8" defaultRowHeight="14.4"/>
  <cols>
    <col width="2.77734375" customWidth="1" min="1" max="1"/>
    <col width="50.77734375" customWidth="1" min="2" max="2"/>
    <col width="10.77734375" customWidth="1" style="343" min="3" max="16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56" t="n"/>
    </row>
    <row r="2">
      <c r="B2" s="7" t="inlineStr">
        <is>
          <t>Working Capital Schedule</t>
        </is>
      </c>
    </row>
    <row r="4">
      <c r="B4" s="7" t="inlineStr">
        <is>
          <t>Particulars</t>
        </is>
      </c>
      <c r="C4" s="350" t="n">
        <v>2017</v>
      </c>
      <c r="D4" s="350">
        <f>C4+1</f>
        <v/>
      </c>
      <c r="E4" s="350">
        <f>D4+1</f>
        <v/>
      </c>
      <c r="F4" s="350">
        <f>E4+1</f>
        <v/>
      </c>
      <c r="G4" s="350">
        <f>F4+1</f>
        <v/>
      </c>
      <c r="H4" s="350">
        <f>G4+1</f>
        <v/>
      </c>
      <c r="I4" s="350">
        <f>H4+1</f>
        <v/>
      </c>
      <c r="J4" s="350">
        <f>I4+1</f>
        <v/>
      </c>
      <c r="K4" s="350">
        <f>J4+1</f>
        <v/>
      </c>
      <c r="L4" s="350">
        <f>K4+1</f>
        <v/>
      </c>
      <c r="M4" s="351">
        <f>L4+1</f>
        <v/>
      </c>
      <c r="N4" s="351">
        <f>M4+1</f>
        <v/>
      </c>
      <c r="O4" s="351">
        <f>N4+1</f>
        <v/>
      </c>
      <c r="P4" s="351">
        <f>O4+1</f>
        <v/>
      </c>
      <c r="Q4" s="351">
        <f>P4+1</f>
        <v/>
      </c>
      <c r="R4" s="351">
        <f>Q4+1</f>
        <v/>
      </c>
      <c r="S4" s="351">
        <f>R4+1</f>
        <v/>
      </c>
      <c r="T4" s="351">
        <f>S4+1</f>
        <v/>
      </c>
    </row>
    <row r="6">
      <c r="B6" t="inlineStr">
        <is>
          <t>Revenue</t>
        </is>
      </c>
      <c r="C6" s="352">
        <f>PL!C6</f>
        <v/>
      </c>
      <c r="D6" s="352">
        <f>PL!D6</f>
        <v/>
      </c>
      <c r="E6" s="352">
        <f>PL!E6</f>
        <v/>
      </c>
      <c r="F6" s="352">
        <f>PL!F6</f>
        <v/>
      </c>
      <c r="G6" s="352">
        <f>PL!G6</f>
        <v/>
      </c>
      <c r="H6" s="352">
        <f>PL!H6</f>
        <v/>
      </c>
      <c r="I6" s="352">
        <f>PL!I6</f>
        <v/>
      </c>
      <c r="J6" s="352">
        <f>PL!J6</f>
        <v/>
      </c>
      <c r="K6" s="352">
        <f>PL!K6</f>
        <v/>
      </c>
      <c r="L6" s="352">
        <f>PL!L6</f>
        <v/>
      </c>
      <c r="M6" s="352">
        <f>PL!M6</f>
        <v/>
      </c>
      <c r="N6" s="352">
        <f>PL!N6</f>
        <v/>
      </c>
      <c r="O6" s="352">
        <f>PL!O6</f>
        <v/>
      </c>
      <c r="P6" s="352">
        <f>PL!P6</f>
        <v/>
      </c>
      <c r="Q6" s="352">
        <f>PL!Q6</f>
        <v/>
      </c>
      <c r="R6" s="352">
        <f>PL!R6</f>
        <v/>
      </c>
      <c r="S6" s="352">
        <f>PL!S6</f>
        <v/>
      </c>
      <c r="T6" s="352">
        <f>PL!T6</f>
        <v/>
      </c>
    </row>
    <row r="7">
      <c r="B7" t="inlineStr">
        <is>
          <t>COGS</t>
        </is>
      </c>
      <c r="C7" s="352">
        <f>-PL!C7</f>
        <v/>
      </c>
      <c r="D7" s="352">
        <f>-PL!D7</f>
        <v/>
      </c>
      <c r="E7" s="352">
        <f>-PL!E7</f>
        <v/>
      </c>
      <c r="F7" s="352">
        <f>-PL!F7</f>
        <v/>
      </c>
      <c r="G7" s="352">
        <f>-PL!G7</f>
        <v/>
      </c>
      <c r="H7" s="352">
        <f>-PL!H7</f>
        <v/>
      </c>
      <c r="I7" s="352">
        <f>-PL!I7</f>
        <v/>
      </c>
      <c r="J7" s="352">
        <f>-PL!J7</f>
        <v/>
      </c>
      <c r="K7" s="352">
        <f>-PL!K7</f>
        <v/>
      </c>
      <c r="L7" s="352">
        <f>-PL!L7</f>
        <v/>
      </c>
      <c r="M7" s="352">
        <f>-PL!M7</f>
        <v/>
      </c>
      <c r="N7" s="352">
        <f>-PL!N7</f>
        <v/>
      </c>
      <c r="O7" s="352">
        <f>-PL!O7</f>
        <v/>
      </c>
      <c r="P7" s="352">
        <f>-PL!P7</f>
        <v/>
      </c>
      <c r="Q7" s="352">
        <f>-PL!Q7</f>
        <v/>
      </c>
      <c r="R7" s="352">
        <f>-PL!R7</f>
        <v/>
      </c>
      <c r="S7" s="352">
        <f>-PL!S7</f>
        <v/>
      </c>
      <c r="T7" s="352">
        <f>-PL!T7</f>
        <v/>
      </c>
    </row>
    <row r="8">
      <c r="C8" s="352" t="n"/>
      <c r="D8" s="352" t="n"/>
      <c r="E8" s="352" t="n"/>
      <c r="F8" s="352" t="n"/>
      <c r="G8" s="352" t="n"/>
      <c r="H8" s="352" t="n"/>
      <c r="I8" s="352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</row>
    <row r="9">
      <c r="B9" t="inlineStr">
        <is>
          <t>Accounts Receivables</t>
        </is>
      </c>
      <c r="C9" s="352">
        <f>BS!C42</f>
        <v/>
      </c>
      <c r="D9" s="352">
        <f>BS!D42</f>
        <v/>
      </c>
      <c r="E9" s="352">
        <f>BS!E42</f>
        <v/>
      </c>
      <c r="F9" s="352">
        <f>BS!F42</f>
        <v/>
      </c>
      <c r="G9" s="352">
        <f>BS!G42</f>
        <v/>
      </c>
      <c r="H9" s="352">
        <f>BS!H42</f>
        <v/>
      </c>
      <c r="I9" s="352">
        <f>BS!I42</f>
        <v/>
      </c>
      <c r="J9" s="352">
        <f>BS!J42</f>
        <v/>
      </c>
      <c r="K9" s="352">
        <f>BS!K42</f>
        <v/>
      </c>
      <c r="L9" s="352">
        <f>BS!L42</f>
        <v/>
      </c>
      <c r="M9" s="343">
        <f>(2*(M6*Assumptions!E25)/365)-L9</f>
        <v/>
      </c>
      <c r="N9" s="343">
        <f>(2*(N6*Assumptions!F25)/365)-M9</f>
        <v/>
      </c>
      <c r="O9" s="343">
        <f>(2*(O6*Assumptions!G25)/365)-N9</f>
        <v/>
      </c>
      <c r="P9" s="343">
        <f>(2*(P6*Assumptions!H25)/365)-O9</f>
        <v/>
      </c>
      <c r="Q9" s="343">
        <f>(2*(Q6*Assumptions!I25)/365)-P9</f>
        <v/>
      </c>
      <c r="R9" s="343">
        <f>(2*(R6*Assumptions!J25)/365)-Q9</f>
        <v/>
      </c>
      <c r="S9" s="343">
        <f>(2*(S6*Assumptions!K25)/365)-R9</f>
        <v/>
      </c>
      <c r="T9" s="343">
        <f>(2*(T6*Assumptions!L25)/365)-S9</f>
        <v/>
      </c>
    </row>
    <row r="10">
      <c r="B10" t="inlineStr">
        <is>
          <t>Receivables Days</t>
        </is>
      </c>
      <c r="D10" s="343">
        <f>AVERAGE(C9:D9)/D6*365</f>
        <v/>
      </c>
      <c r="E10" s="343">
        <f>AVERAGE(D9:E9)/E6*365</f>
        <v/>
      </c>
      <c r="F10" s="343">
        <f>AVERAGE(E9:F9)/F6*365</f>
        <v/>
      </c>
      <c r="G10" s="343">
        <f>AVERAGE(F9:G9)/G6*365</f>
        <v/>
      </c>
      <c r="H10" s="343">
        <f>AVERAGE(G9:H9)/H6*365</f>
        <v/>
      </c>
      <c r="I10" s="343">
        <f>AVERAGE(H9:I9)/I6*365</f>
        <v/>
      </c>
      <c r="J10" s="343">
        <f>AVERAGE(I9:J9)/J6*365</f>
        <v/>
      </c>
      <c r="K10" s="343">
        <f>AVERAGE(J9:K9)/K6*365</f>
        <v/>
      </c>
      <c r="L10" s="343">
        <f>AVERAGE(K9:L9)/L6*365</f>
        <v/>
      </c>
      <c r="M10" s="343">
        <f>AVERAGE(L9:M9)/M6*365</f>
        <v/>
      </c>
      <c r="N10" s="343">
        <f>AVERAGE(M9:N9)/N6*365</f>
        <v/>
      </c>
      <c r="O10" s="343">
        <f>AVERAGE(N9:O9)/O6*365</f>
        <v/>
      </c>
      <c r="P10" s="343">
        <f>AVERAGE(O9:P9)/P6*365</f>
        <v/>
      </c>
      <c r="Q10" s="343">
        <f>AVERAGE(P9:Q9)/Q6*365</f>
        <v/>
      </c>
      <c r="R10" s="343">
        <f>AVERAGE(Q9:R9)/R6*365</f>
        <v/>
      </c>
      <c r="S10" s="343">
        <f>AVERAGE(R9:S9)/S6*365</f>
        <v/>
      </c>
      <c r="T10" s="343">
        <f>AVERAGE(S9:T9)/T6*365</f>
        <v/>
      </c>
    </row>
    <row r="12">
      <c r="B12" t="inlineStr">
        <is>
          <t>Inventory</t>
        </is>
      </c>
      <c r="C12" s="352">
        <f>BS!C43</f>
        <v/>
      </c>
      <c r="D12" s="352">
        <f>BS!D43</f>
        <v/>
      </c>
      <c r="E12" s="352">
        <f>BS!E43</f>
        <v/>
      </c>
      <c r="F12" s="352">
        <f>BS!F43</f>
        <v/>
      </c>
      <c r="G12" s="352">
        <f>BS!G43</f>
        <v/>
      </c>
      <c r="H12" s="352">
        <f>BS!H43</f>
        <v/>
      </c>
      <c r="I12" s="352">
        <f>BS!I43</f>
        <v/>
      </c>
      <c r="J12" s="352">
        <f>BS!J43</f>
        <v/>
      </c>
      <c r="K12" s="352">
        <f>BS!K43</f>
        <v/>
      </c>
      <c r="L12" s="352">
        <f>BS!L43</f>
        <v/>
      </c>
      <c r="M12" s="343">
        <f>(2*(M7*Assumptions!E26)/365)-L12</f>
        <v/>
      </c>
      <c r="N12" s="343">
        <f>(2*(N7*Assumptions!F26)/365)-M12</f>
        <v/>
      </c>
      <c r="O12" s="343">
        <f>(2*(O7*Assumptions!G26)/365)-N12</f>
        <v/>
      </c>
      <c r="P12" s="343">
        <f>(2*(P7*Assumptions!H26)/365)-O12</f>
        <v/>
      </c>
      <c r="Q12" s="343">
        <f>(2*(Q7*Assumptions!I26)/365)-P12</f>
        <v/>
      </c>
      <c r="R12" s="343">
        <f>(2*(R7*Assumptions!J26)/365)-Q12</f>
        <v/>
      </c>
      <c r="S12" s="343">
        <f>(2*(S7*Assumptions!K26)/365)-R12</f>
        <v/>
      </c>
      <c r="T12" s="343">
        <f>(2*(T7*Assumptions!L26)/365)-S12</f>
        <v/>
      </c>
    </row>
    <row r="13">
      <c r="B13" t="inlineStr">
        <is>
          <t>Inventory Days</t>
        </is>
      </c>
      <c r="D13" s="343">
        <f>AVERAGE(C12:D12)/D7*365</f>
        <v/>
      </c>
      <c r="E13" s="343">
        <f>AVERAGE(D12:E12)/E7*365</f>
        <v/>
      </c>
      <c r="F13" s="343">
        <f>AVERAGE(E12:F12)/F7*365</f>
        <v/>
      </c>
      <c r="G13" s="343">
        <f>AVERAGE(F12:G12)/G7*365</f>
        <v/>
      </c>
      <c r="H13" s="343">
        <f>AVERAGE(G12:H12)/H7*365</f>
        <v/>
      </c>
      <c r="I13" s="343">
        <f>AVERAGE(H12:I12)/I7*365</f>
        <v/>
      </c>
      <c r="J13" s="343">
        <f>AVERAGE(I12:J12)/J7*365</f>
        <v/>
      </c>
      <c r="K13" s="343">
        <f>AVERAGE(J12:K12)/K7*365</f>
        <v/>
      </c>
      <c r="L13" s="343">
        <f>AVERAGE(K12:L12)/L7*365</f>
        <v/>
      </c>
      <c r="M13" s="343">
        <f>AVERAGE(L12:M12)/M7*365</f>
        <v/>
      </c>
      <c r="N13" s="343">
        <f>AVERAGE(M12:N12)/N7*365</f>
        <v/>
      </c>
      <c r="O13" s="343">
        <f>AVERAGE(N12:O12)/O7*365</f>
        <v/>
      </c>
      <c r="P13" s="343">
        <f>AVERAGE(O12:P12)/P7*365</f>
        <v/>
      </c>
      <c r="Q13" s="343">
        <f>AVERAGE(P12:Q12)/Q7*365</f>
        <v/>
      </c>
      <c r="R13" s="343">
        <f>AVERAGE(Q12:R12)/R7*365</f>
        <v/>
      </c>
      <c r="S13" s="343">
        <f>AVERAGE(R12:S12)/S7*365</f>
        <v/>
      </c>
      <c r="T13" s="343">
        <f>AVERAGE(S12:T12)/T7*365</f>
        <v/>
      </c>
    </row>
    <row r="15">
      <c r="B15" t="inlineStr">
        <is>
          <t>Trade Payables</t>
        </is>
      </c>
      <c r="C15" s="352">
        <f>BS!C21</f>
        <v/>
      </c>
      <c r="D15" s="352">
        <f>BS!D21</f>
        <v/>
      </c>
      <c r="E15" s="352">
        <f>BS!E21</f>
        <v/>
      </c>
      <c r="F15" s="352">
        <f>BS!F21</f>
        <v/>
      </c>
      <c r="G15" s="352">
        <f>BS!G21</f>
        <v/>
      </c>
      <c r="H15" s="352">
        <f>BS!H21</f>
        <v/>
      </c>
      <c r="I15" s="352">
        <f>BS!I21</f>
        <v/>
      </c>
      <c r="J15" s="352">
        <f>BS!J21</f>
        <v/>
      </c>
      <c r="K15" s="352">
        <f>BS!K21</f>
        <v/>
      </c>
      <c r="L15" s="352">
        <f>BS!L21</f>
        <v/>
      </c>
      <c r="M15" s="343">
        <f>(2*(M7*Assumptions!E22)/365)-L15</f>
        <v/>
      </c>
      <c r="N15" s="343">
        <f>(2*(N7*Assumptions!F22)/365)-M15</f>
        <v/>
      </c>
      <c r="O15" s="343">
        <f>(2*(O7*Assumptions!G22)/365)-N15</f>
        <v/>
      </c>
      <c r="P15" s="343">
        <f>(2*(P7*Assumptions!H22)/365)-O15</f>
        <v/>
      </c>
      <c r="Q15" s="343">
        <f>(2*(Q7*Assumptions!I22)/365)-P15</f>
        <v/>
      </c>
      <c r="R15" s="343">
        <f>(2*(R7*Assumptions!J22)/365)-Q15</f>
        <v/>
      </c>
      <c r="S15" s="343">
        <f>(2*(S7*Assumptions!K22)/365)-R15</f>
        <v/>
      </c>
      <c r="T15" s="343">
        <f>(2*(T7*Assumptions!L22)/365)-S15</f>
        <v/>
      </c>
    </row>
    <row r="16">
      <c r="B16" t="inlineStr">
        <is>
          <t>Payable Days</t>
        </is>
      </c>
      <c r="D16" s="343">
        <f>AVERAGE(C15:D15)/D7*365</f>
        <v/>
      </c>
      <c r="E16" s="343">
        <f>AVERAGE(D15:E15)/E7*365</f>
        <v/>
      </c>
      <c r="F16" s="343">
        <f>AVERAGE(E15:F15)/F7*365</f>
        <v/>
      </c>
      <c r="G16" s="343">
        <f>AVERAGE(F15:G15)/G7*365</f>
        <v/>
      </c>
      <c r="H16" s="343">
        <f>AVERAGE(G15:H15)/H7*365</f>
        <v/>
      </c>
      <c r="I16" s="343">
        <f>AVERAGE(H15:I15)/I7*365</f>
        <v/>
      </c>
      <c r="J16" s="343">
        <f>AVERAGE(I15:J15)/J7*365</f>
        <v/>
      </c>
      <c r="K16" s="343">
        <f>AVERAGE(J15:K15)/K7*365</f>
        <v/>
      </c>
      <c r="L16" s="343">
        <f>AVERAGE(K15:L15)/L7*365</f>
        <v/>
      </c>
      <c r="M16" s="343">
        <f>AVERAGE(L15:M15)/M7*365</f>
        <v/>
      </c>
      <c r="N16" s="343">
        <f>AVERAGE(M15:N15)/N7*365</f>
        <v/>
      </c>
      <c r="O16" s="343">
        <f>AVERAGE(N15:O15)/O7*365</f>
        <v/>
      </c>
      <c r="P16" s="343">
        <f>AVERAGE(O15:P15)/P7*365</f>
        <v/>
      </c>
      <c r="Q16" s="343">
        <f>AVERAGE(P15:Q15)/Q7*365</f>
        <v/>
      </c>
      <c r="R16" s="343">
        <f>AVERAGE(Q15:R15)/R7*365</f>
        <v/>
      </c>
      <c r="S16" s="343">
        <f>AVERAGE(R15:S15)/S7*365</f>
        <v/>
      </c>
      <c r="T16" s="343">
        <f>AVERAGE(S15:T15)/T7*365</f>
        <v/>
      </c>
    </row>
    <row r="18">
      <c r="B18" t="inlineStr">
        <is>
          <t>Total Current Assets</t>
        </is>
      </c>
      <c r="C18" s="343">
        <f>BS!C42+BS!C43+BS!C44</f>
        <v/>
      </c>
      <c r="D18" s="343">
        <f>BS!D42+BS!D43+BS!D44</f>
        <v/>
      </c>
      <c r="E18" s="343">
        <f>BS!E42+BS!E43+BS!E44</f>
        <v/>
      </c>
      <c r="F18" s="343">
        <f>BS!F42+BS!F43+BS!F44</f>
        <v/>
      </c>
      <c r="G18" s="343">
        <f>BS!G42+BS!G43+BS!G44</f>
        <v/>
      </c>
      <c r="H18" s="343">
        <f>BS!H42+BS!H43+BS!H44</f>
        <v/>
      </c>
      <c r="I18" s="343">
        <f>BS!I42+BS!I43+BS!I44</f>
        <v/>
      </c>
      <c r="J18" s="343">
        <f>BS!J42+BS!J43+BS!J44</f>
        <v/>
      </c>
      <c r="K18" s="343">
        <f>BS!K42+BS!K43+BS!K44</f>
        <v/>
      </c>
      <c r="L18" s="343">
        <f>BS!L42+BS!L43+BS!L44</f>
        <v/>
      </c>
      <c r="M18" s="343">
        <f>BS!M42+BS!M43+BS!M44</f>
        <v/>
      </c>
      <c r="N18" s="343">
        <f>BS!N42+BS!N43+BS!N44</f>
        <v/>
      </c>
      <c r="O18" s="343">
        <f>BS!O42+BS!O43+BS!O44</f>
        <v/>
      </c>
      <c r="P18" s="343">
        <f>BS!P42+BS!P43+BS!P44</f>
        <v/>
      </c>
      <c r="Q18" s="343">
        <f>BS!Q42+BS!Q43+BS!Q44</f>
        <v/>
      </c>
      <c r="R18" s="343">
        <f>BS!R42+BS!R43+BS!R44</f>
        <v/>
      </c>
      <c r="S18" s="343">
        <f>BS!S42+BS!S43+BS!S44</f>
        <v/>
      </c>
      <c r="T18" s="343">
        <f>BS!T42+BS!T43+BS!T44</f>
        <v/>
      </c>
    </row>
    <row r="19">
      <c r="B19" t="inlineStr">
        <is>
          <t>Total Current Liabilities</t>
        </is>
      </c>
      <c r="C19" s="352">
        <f>BS!C25</f>
        <v/>
      </c>
      <c r="D19" s="352">
        <f>BS!D25</f>
        <v/>
      </c>
      <c r="E19" s="352">
        <f>BS!E25</f>
        <v/>
      </c>
      <c r="F19" s="352">
        <f>BS!F25</f>
        <v/>
      </c>
      <c r="G19" s="352">
        <f>BS!G25</f>
        <v/>
      </c>
      <c r="H19" s="352">
        <f>BS!H25</f>
        <v/>
      </c>
      <c r="I19" s="352">
        <f>BS!I25</f>
        <v/>
      </c>
      <c r="J19" s="352">
        <f>BS!J25</f>
        <v/>
      </c>
      <c r="K19" s="352">
        <f>BS!K25</f>
        <v/>
      </c>
      <c r="L19" s="352">
        <f>BS!L25</f>
        <v/>
      </c>
      <c r="M19" s="352">
        <f>BS!M25</f>
        <v/>
      </c>
      <c r="N19" s="352">
        <f>BS!N25</f>
        <v/>
      </c>
      <c r="O19" s="352">
        <f>BS!O25</f>
        <v/>
      </c>
      <c r="P19" s="352">
        <f>BS!P25</f>
        <v/>
      </c>
      <c r="Q19" s="352">
        <f>BS!Q25</f>
        <v/>
      </c>
      <c r="R19" s="352">
        <f>BS!R25</f>
        <v/>
      </c>
      <c r="S19" s="352">
        <f>BS!S25</f>
        <v/>
      </c>
      <c r="T19" s="352">
        <f>BS!T25</f>
        <v/>
      </c>
    </row>
    <row r="20">
      <c r="B20" s="7" t="inlineStr">
        <is>
          <t>WC</t>
        </is>
      </c>
      <c r="C20" s="348">
        <f>C18-C19</f>
        <v/>
      </c>
      <c r="D20" s="348">
        <f>D18-D19</f>
        <v/>
      </c>
      <c r="E20" s="348">
        <f>E18-E19</f>
        <v/>
      </c>
      <c r="F20" s="348">
        <f>F18-F19</f>
        <v/>
      </c>
      <c r="G20" s="348">
        <f>G18-G19</f>
        <v/>
      </c>
      <c r="H20" s="348">
        <f>H18-H19</f>
        <v/>
      </c>
      <c r="I20" s="348">
        <f>I18-I19</f>
        <v/>
      </c>
      <c r="J20" s="348">
        <f>J18-J19</f>
        <v/>
      </c>
      <c r="K20" s="348">
        <f>K18-K19</f>
        <v/>
      </c>
      <c r="L20" s="348">
        <f>L18-L19</f>
        <v/>
      </c>
      <c r="M20" s="348">
        <f>M18-M19</f>
        <v/>
      </c>
      <c r="N20" s="348">
        <f>N18-N19</f>
        <v/>
      </c>
      <c r="O20" s="348">
        <f>O18-O19</f>
        <v/>
      </c>
      <c r="P20" s="348">
        <f>P18-P19</f>
        <v/>
      </c>
      <c r="Q20" s="348">
        <f>Q18-Q19</f>
        <v/>
      </c>
      <c r="R20" s="348">
        <f>R18-R19</f>
        <v/>
      </c>
      <c r="S20" s="348">
        <f>S18-S19</f>
        <v/>
      </c>
      <c r="T20" s="348">
        <f>T18-T19</f>
        <v/>
      </c>
    </row>
    <row r="21">
      <c r="B21" s="7" t="inlineStr">
        <is>
          <t>Change In NWC</t>
        </is>
      </c>
      <c r="C21" s="348" t="n"/>
      <c r="D21" s="348">
        <f>D20-C20</f>
        <v/>
      </c>
      <c r="E21" s="348">
        <f>E20-D20</f>
        <v/>
      </c>
      <c r="F21" s="348">
        <f>F20-E20</f>
        <v/>
      </c>
      <c r="G21" s="348">
        <f>G20-F20</f>
        <v/>
      </c>
      <c r="H21" s="348">
        <f>H20-G20</f>
        <v/>
      </c>
      <c r="I21" s="348">
        <f>I20-H20</f>
        <v/>
      </c>
      <c r="J21" s="348">
        <f>J20-I20</f>
        <v/>
      </c>
      <c r="K21" s="348">
        <f>K20-J20</f>
        <v/>
      </c>
      <c r="L21" s="348">
        <f>L20-K20</f>
        <v/>
      </c>
      <c r="M21" s="348">
        <f>M20-L20</f>
        <v/>
      </c>
      <c r="N21" s="348">
        <f>N20-M20</f>
        <v/>
      </c>
      <c r="O21" s="348">
        <f>O20-N20</f>
        <v/>
      </c>
      <c r="P21" s="348">
        <f>P20-O20</f>
        <v/>
      </c>
      <c r="Q21" s="348">
        <f>Q20-P20</f>
        <v/>
      </c>
      <c r="R21" s="348">
        <f>R20-Q20</f>
        <v/>
      </c>
      <c r="S21" s="348">
        <f>S20-R20</f>
        <v/>
      </c>
      <c r="T21" s="348">
        <f>T20-S20</f>
        <v/>
      </c>
    </row>
    <row r="23">
      <c r="B23" s="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8"/>
  <sheetViews>
    <sheetView showGridLines="0" topLeftCell="A3" zoomScale="94" zoomScaleNormal="96" workbookViewId="0">
      <pane xSplit="2" ySplit="2" topLeftCell="C5" activePane="bottomRight" state="frozen"/>
      <selection activeCell="A3" sqref="A3"/>
      <selection pane="topRight" activeCell="C3" sqref="C3"/>
      <selection pane="bottomLeft" activeCell="A5" sqref="A5"/>
      <selection pane="bottomRight" activeCell="M25" sqref="M25"/>
    </sheetView>
  </sheetViews>
  <sheetFormatPr baseColWidth="8" defaultRowHeight="18" customHeight="1"/>
  <cols>
    <col width="2.77734375" customWidth="1" min="1" max="1"/>
    <col width="50.77734375" customWidth="1" min="2" max="2"/>
    <col width="10.77734375" customWidth="1" min="3" max="16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6.05" customHeight="1">
      <c r="B1" s="56" t="n"/>
    </row>
    <row r="2" ht="21" customHeight="1">
      <c r="B2" s="112" t="inlineStr">
        <is>
          <t>Income Statement</t>
        </is>
      </c>
    </row>
    <row r="3" ht="14.4" customHeight="1"/>
    <row r="4" ht="19.95" customHeight="1">
      <c r="A4" t="inlineStr">
        <is>
          <t>x</t>
        </is>
      </c>
      <c r="B4" s="7" t="inlineStr">
        <is>
          <t>Particulars</t>
        </is>
      </c>
      <c r="C4" s="350" t="n">
        <v>2017</v>
      </c>
      <c r="D4" s="350">
        <f>C4+1</f>
        <v/>
      </c>
      <c r="E4" s="350">
        <f>D4+1</f>
        <v/>
      </c>
      <c r="F4" s="350">
        <f>E4+1</f>
        <v/>
      </c>
      <c r="G4" s="350">
        <f>F4+1</f>
        <v/>
      </c>
      <c r="H4" s="350">
        <f>G4+1</f>
        <v/>
      </c>
      <c r="I4" s="350">
        <f>H4+1</f>
        <v/>
      </c>
      <c r="J4" s="350">
        <f>I4+1</f>
        <v/>
      </c>
      <c r="K4" s="350">
        <f>J4+1</f>
        <v/>
      </c>
      <c r="L4" s="350">
        <f>K4+1</f>
        <v/>
      </c>
      <c r="M4" s="351">
        <f>L4+1</f>
        <v/>
      </c>
      <c r="N4" s="351">
        <f>M4+1</f>
        <v/>
      </c>
      <c r="O4" s="351">
        <f>N4+1</f>
        <v/>
      </c>
      <c r="P4" s="351">
        <f>O4+1</f>
        <v/>
      </c>
      <c r="Q4" s="351">
        <f>P4+1</f>
        <v/>
      </c>
      <c r="R4" s="351">
        <f>Q4+1</f>
        <v/>
      </c>
      <c r="S4" s="351">
        <f>R4+1</f>
        <v/>
      </c>
      <c r="T4" s="351">
        <f>S4+1</f>
        <v/>
      </c>
    </row>
    <row r="5" ht="4.95" customHeight="1">
      <c r="B5" s="7" t="n"/>
      <c r="C5" s="350" t="n"/>
      <c r="D5" s="350" t="n"/>
      <c r="E5" s="350" t="n"/>
      <c r="F5" s="350" t="n"/>
      <c r="G5" s="350" t="n"/>
      <c r="H5" s="350" t="n"/>
      <c r="I5" s="350" t="n"/>
      <c r="J5" s="350" t="n"/>
      <c r="K5" s="350" t="n"/>
      <c r="L5" s="350" t="n"/>
      <c r="M5" s="351" t="n"/>
      <c r="N5" s="351" t="n"/>
      <c r="O5" s="351" t="n"/>
      <c r="P5" s="351" t="n"/>
      <c r="Q5" s="351" t="n"/>
      <c r="R5" s="351" t="n"/>
      <c r="S5" s="351" t="n"/>
      <c r="T5" s="351" t="n"/>
    </row>
    <row r="6" ht="18" customFormat="1" customHeight="1" s="7">
      <c r="B6" s="7" t="inlineStr">
        <is>
          <t>Sales</t>
        </is>
      </c>
      <c r="C6" s="353" t="n">
        <v>8817.5</v>
      </c>
      <c r="D6" s="353" t="n">
        <v>8590.6</v>
      </c>
      <c r="E6" s="353" t="n">
        <v>9340.799999999999</v>
      </c>
      <c r="F6" s="353" t="n">
        <v>9325.4</v>
      </c>
      <c r="G6" s="353" t="n">
        <v>8131.3</v>
      </c>
      <c r="H6" s="353" t="n">
        <v>9712.4</v>
      </c>
      <c r="I6" s="353" t="n">
        <v>10612</v>
      </c>
      <c r="J6" s="353" t="n">
        <v>11321</v>
      </c>
      <c r="K6" s="353" t="n">
        <v>12069</v>
      </c>
      <c r="L6" s="353" t="n">
        <v>12467</v>
      </c>
      <c r="M6" s="348">
        <f>L6*(1+Scenarios!H10)</f>
        <v/>
      </c>
      <c r="N6" s="348">
        <f>M6*(1+Scenarios!I10)</f>
        <v/>
      </c>
      <c r="O6" s="348">
        <f>N6*(1+Scenarios!J10)</f>
        <v/>
      </c>
      <c r="P6" s="348">
        <f>O6*(1+Scenarios!K10)</f>
        <v/>
      </c>
      <c r="Q6" s="348">
        <f>P6*(1+Scenarios!L10)</f>
        <v/>
      </c>
      <c r="R6" s="348">
        <f>Q6*(1+Scenarios!M10)</f>
        <v/>
      </c>
      <c r="S6" s="348">
        <f>R6*(1+Scenarios!N10)</f>
        <v/>
      </c>
      <c r="T6" s="348">
        <f>S6*(1+Scenarios!O10)</f>
        <v/>
      </c>
    </row>
    <row r="7" ht="18" customFormat="1" customHeight="1" s="7">
      <c r="B7" s="30" t="inlineStr">
        <is>
          <t>Total COGS</t>
        </is>
      </c>
      <c r="C7" s="348" t="n">
        <v>-5151.3</v>
      </c>
      <c r="D7" s="348" t="n">
        <v>-4557.3</v>
      </c>
      <c r="E7" s="348" t="n">
        <v>-4966.4</v>
      </c>
      <c r="F7" s="348" t="n">
        <v>-5370</v>
      </c>
      <c r="G7" s="348" t="n">
        <v>-4807.5</v>
      </c>
      <c r="H7" s="348" t="n">
        <v>-5680.9</v>
      </c>
      <c r="I7" s="348" t="n">
        <v>-6503</v>
      </c>
      <c r="J7" s="348" t="n">
        <v>-6542</v>
      </c>
      <c r="K7" s="348" t="n">
        <v>-6860</v>
      </c>
      <c r="L7" s="348" t="n">
        <v>-6674</v>
      </c>
      <c r="M7" s="348">
        <f>-M6*(1-Scenarios!H19)</f>
        <v/>
      </c>
      <c r="N7" s="348">
        <f>-N6*(1-Scenarios!I19)</f>
        <v/>
      </c>
      <c r="O7" s="348">
        <f>-O6*(1-Scenarios!J19)</f>
        <v/>
      </c>
      <c r="P7" s="348">
        <f>-P6*(1-Scenarios!K19)</f>
        <v/>
      </c>
      <c r="Q7" s="348">
        <f>-Q6*(1-Scenarios!L19)</f>
        <v/>
      </c>
      <c r="R7" s="348">
        <f>-R6*(1-Scenarios!M19)</f>
        <v/>
      </c>
      <c r="S7" s="348">
        <f>-S6*(1-Scenarios!N19)</f>
        <v/>
      </c>
      <c r="T7" s="348">
        <f>-T6*(1-Scenarios!O19)</f>
        <v/>
      </c>
    </row>
    <row r="8" ht="18" customHeight="1">
      <c r="A8" t="inlineStr">
        <is>
          <t>x</t>
        </is>
      </c>
      <c r="B8" s="93" t="inlineStr">
        <is>
          <t>Gross Profit</t>
        </is>
      </c>
      <c r="C8" s="354">
        <f>C6+C7</f>
        <v/>
      </c>
      <c r="D8" s="354">
        <f>D6+D7</f>
        <v/>
      </c>
      <c r="E8" s="354">
        <f>E6+E7</f>
        <v/>
      </c>
      <c r="F8" s="354">
        <f>F6+F7</f>
        <v/>
      </c>
      <c r="G8" s="354">
        <f>G6+G7</f>
        <v/>
      </c>
      <c r="H8" s="354">
        <f>H6+H7</f>
        <v/>
      </c>
      <c r="I8" s="354">
        <f>I6+I7</f>
        <v/>
      </c>
      <c r="J8" s="354">
        <f>J6+J7</f>
        <v/>
      </c>
      <c r="K8" s="354">
        <f>K6+K7</f>
        <v/>
      </c>
      <c r="L8" s="354">
        <f>L6+L7</f>
        <v/>
      </c>
      <c r="M8" s="354">
        <f>M6+M7</f>
        <v/>
      </c>
      <c r="N8" s="354">
        <f>N6+N7</f>
        <v/>
      </c>
      <c r="O8" s="354">
        <f>O6+O7</f>
        <v/>
      </c>
      <c r="P8" s="354">
        <f>P6+P7</f>
        <v/>
      </c>
      <c r="Q8" s="354">
        <f>Q6+Q7</f>
        <v/>
      </c>
      <c r="R8" s="354">
        <f>R6+R7</f>
        <v/>
      </c>
      <c r="S8" s="354">
        <f>S6+S7</f>
        <v/>
      </c>
      <c r="T8" s="354">
        <f>T6+T7</f>
        <v/>
      </c>
      <c r="V8" s="355" t="n"/>
    </row>
    <row r="9" ht="18" customHeight="1">
      <c r="B9" t="inlineStr">
        <is>
          <t>Operating Expenes</t>
        </is>
      </c>
      <c r="C9" s="343" t="n"/>
      <c r="D9" s="343" t="n"/>
      <c r="E9" s="343" t="n"/>
      <c r="F9" s="343" t="n"/>
      <c r="G9" s="343" t="n"/>
      <c r="H9" s="343" t="n"/>
      <c r="I9" s="343" t="n"/>
      <c r="J9" s="343" t="n"/>
      <c r="K9" s="343" t="n"/>
      <c r="L9" s="343" t="n"/>
      <c r="M9" s="343" t="n"/>
      <c r="N9" s="343" t="n"/>
      <c r="O9" s="343" t="n"/>
      <c r="P9" s="343" t="n"/>
      <c r="Q9" s="343" t="n"/>
      <c r="R9" s="343" t="n"/>
      <c r="S9" s="343" t="n"/>
      <c r="T9" s="343" t="n"/>
      <c r="V9" s="355" t="n"/>
    </row>
    <row r="10" ht="18" customHeight="1">
      <c r="B10" s="58" t="inlineStr">
        <is>
          <t>Employee Cost</t>
        </is>
      </c>
      <c r="C10" s="356" t="n">
        <v>-688.9</v>
      </c>
      <c r="D10" s="356" t="n">
        <v>-681.2</v>
      </c>
      <c r="E10" s="356" t="n">
        <v>-690.2</v>
      </c>
      <c r="F10" s="356" t="n">
        <v>-530.4</v>
      </c>
      <c r="G10" s="356" t="n">
        <v>-557</v>
      </c>
      <c r="H10" s="356" t="n">
        <v>-653.9</v>
      </c>
      <c r="I10" s="356" t="n">
        <v>-613</v>
      </c>
      <c r="J10" s="356" t="n">
        <v>-549</v>
      </c>
      <c r="K10" s="356" t="n">
        <v>-614</v>
      </c>
      <c r="L10" s="356" t="n">
        <v>-635</v>
      </c>
      <c r="M10" s="343">
        <f>-M6*Assumptions!E7</f>
        <v/>
      </c>
      <c r="N10" s="343">
        <f>-N6*Assumptions!F7</f>
        <v/>
      </c>
      <c r="O10" s="343">
        <f>-O6*Assumptions!G7</f>
        <v/>
      </c>
      <c r="P10" s="343">
        <f>-P6*Assumptions!H7</f>
        <v/>
      </c>
      <c r="Q10" s="343">
        <f>-Q6*Assumptions!I7</f>
        <v/>
      </c>
      <c r="R10" s="343">
        <f>-R6*Assumptions!J7</f>
        <v/>
      </c>
      <c r="S10" s="343">
        <f>-S6*Assumptions!K7</f>
        <v/>
      </c>
      <c r="T10" s="343">
        <f>-T6*Assumptions!L7</f>
        <v/>
      </c>
      <c r="V10" s="355" t="n"/>
    </row>
    <row r="11" ht="18" customHeight="1">
      <c r="B11" s="58" t="inlineStr">
        <is>
          <t>Selling and admin</t>
        </is>
      </c>
      <c r="C11" s="356" t="n">
        <v>-1985.9</v>
      </c>
      <c r="D11" s="356" t="n">
        <v>-2142.9</v>
      </c>
      <c r="E11" s="356" t="n">
        <v>-2290.4</v>
      </c>
      <c r="F11" s="356" t="n">
        <v>-1854</v>
      </c>
      <c r="G11" s="356" t="n">
        <v>-1715.4</v>
      </c>
      <c r="H11" s="356" t="n">
        <v>-1782.4</v>
      </c>
      <c r="I11" s="356" t="n">
        <v>-2079</v>
      </c>
      <c r="J11" s="356" t="n">
        <v>-2230</v>
      </c>
      <c r="K11" s="356" t="n">
        <v>-2359</v>
      </c>
      <c r="L11" s="356" t="n">
        <v>-2879</v>
      </c>
      <c r="M11" s="343">
        <f>-M6*Assumptions!E8</f>
        <v/>
      </c>
      <c r="N11" s="343">
        <f>-N6*Assumptions!F8</f>
        <v/>
      </c>
      <c r="O11" s="343">
        <f>-O6*Assumptions!G8</f>
        <v/>
      </c>
      <c r="P11" s="343">
        <f>-P6*Assumptions!H8</f>
        <v/>
      </c>
      <c r="Q11" s="343">
        <f>-Q6*Assumptions!I8</f>
        <v/>
      </c>
      <c r="R11" s="343">
        <f>-R6*Assumptions!J8</f>
        <v/>
      </c>
      <c r="S11" s="343">
        <f>-S6*Assumptions!K8</f>
        <v/>
      </c>
      <c r="T11" s="343">
        <f>-T6*Assumptions!L8</f>
        <v/>
      </c>
      <c r="V11" s="355" t="n"/>
    </row>
    <row r="12" ht="18" customHeight="1">
      <c r="B12" s="91" t="inlineStr">
        <is>
          <t>Total Operating Expenses</t>
        </is>
      </c>
      <c r="C12" s="357">
        <f>SUM(C10:C11)</f>
        <v/>
      </c>
      <c r="D12" s="357">
        <f>SUM(D10:D11)</f>
        <v/>
      </c>
      <c r="E12" s="357">
        <f>SUM(E10:E11)</f>
        <v/>
      </c>
      <c r="F12" s="357">
        <f>SUM(F10:F11)</f>
        <v/>
      </c>
      <c r="G12" s="357">
        <f>SUM(G10:G11)</f>
        <v/>
      </c>
      <c r="H12" s="357">
        <f>SUM(H10:H11)</f>
        <v/>
      </c>
      <c r="I12" s="357">
        <f>SUM(I10:I11)</f>
        <v/>
      </c>
      <c r="J12" s="357">
        <f>SUM(J10:J11)</f>
        <v/>
      </c>
      <c r="K12" s="357">
        <f>SUM(K10:K11)</f>
        <v/>
      </c>
      <c r="L12" s="357">
        <f>SUM(L10:L11)</f>
        <v/>
      </c>
      <c r="M12" s="354">
        <f>SUM(M10:M11)</f>
        <v/>
      </c>
      <c r="N12" s="354">
        <f>SUM(N10:N11)</f>
        <v/>
      </c>
      <c r="O12" s="354">
        <f>SUM(O10:O11)</f>
        <v/>
      </c>
      <c r="P12" s="354">
        <f>SUM(P10:P11)</f>
        <v/>
      </c>
      <c r="Q12" s="354">
        <f>SUM(Q10:Q11)</f>
        <v/>
      </c>
      <c r="R12" s="354">
        <f>SUM(R10:R11)</f>
        <v/>
      </c>
      <c r="S12" s="354">
        <f>SUM(S10:S11)</f>
        <v/>
      </c>
      <c r="T12" s="354">
        <f>SUM(T10:T11)</f>
        <v/>
      </c>
      <c r="W12" s="358" t="n"/>
    </row>
    <row r="13" ht="18" customHeight="1">
      <c r="A13" t="inlineStr">
        <is>
          <t>x</t>
        </is>
      </c>
      <c r="B13" s="7" t="inlineStr">
        <is>
          <t>EBITDA</t>
        </is>
      </c>
      <c r="C13" s="348">
        <f>C8+C12</f>
        <v/>
      </c>
      <c r="D13" s="348">
        <f>D8+D12</f>
        <v/>
      </c>
      <c r="E13" s="348">
        <f>E8+E12</f>
        <v/>
      </c>
      <c r="F13" s="348">
        <f>F8+F12</f>
        <v/>
      </c>
      <c r="G13" s="348">
        <f>G8+G12</f>
        <v/>
      </c>
      <c r="H13" s="348">
        <f>H8+H12</f>
        <v/>
      </c>
      <c r="I13" s="348">
        <f>I8+I12</f>
        <v/>
      </c>
      <c r="J13" s="348">
        <f>J8+J12</f>
        <v/>
      </c>
      <c r="K13" s="348">
        <f>K8+K12</f>
        <v/>
      </c>
      <c r="L13" s="348">
        <f>L8+L12</f>
        <v/>
      </c>
      <c r="M13" s="348">
        <f>M8+M12</f>
        <v/>
      </c>
      <c r="N13" s="348">
        <f>N8+N12</f>
        <v/>
      </c>
      <c r="O13" s="348">
        <f>O8+O12</f>
        <v/>
      </c>
      <c r="P13" s="348">
        <f>P8+P12</f>
        <v/>
      </c>
      <c r="Q13" s="348">
        <f>Q8+Q12</f>
        <v/>
      </c>
      <c r="R13" s="348">
        <f>R8+R12</f>
        <v/>
      </c>
      <c r="S13" s="348">
        <f>S8+S12</f>
        <v/>
      </c>
      <c r="T13" s="348">
        <f>T8+T12</f>
        <v/>
      </c>
    </row>
    <row r="14" ht="18" customHeight="1">
      <c r="B14" t="inlineStr">
        <is>
          <t>Depreciation &amp; Amortization</t>
        </is>
      </c>
      <c r="C14" s="356" t="n">
        <v>-188.6</v>
      </c>
      <c r="D14" s="356" t="n">
        <v>-192.3</v>
      </c>
      <c r="E14" s="356" t="n">
        <v>-214.7</v>
      </c>
      <c r="F14" s="356" t="n">
        <v>-285.3</v>
      </c>
      <c r="G14" s="356" t="n">
        <v>-299.1</v>
      </c>
      <c r="H14" s="356" t="n">
        <v>-303.8</v>
      </c>
      <c r="I14" s="356" t="n">
        <v>-283</v>
      </c>
      <c r="J14" s="356" t="n">
        <v>-275</v>
      </c>
      <c r="K14" s="356" t="n">
        <v>-283</v>
      </c>
      <c r="L14" s="356" t="n">
        <v>-289</v>
      </c>
      <c r="M14" s="352">
        <f>'Working Schedules'!H70</f>
        <v/>
      </c>
      <c r="N14" s="352">
        <f>'Working Schedules'!I70</f>
        <v/>
      </c>
      <c r="O14" s="352">
        <f>'Working Schedules'!J70</f>
        <v/>
      </c>
      <c r="P14" s="352">
        <f>'Working Schedules'!K70</f>
        <v/>
      </c>
      <c r="Q14" s="352">
        <f>'Working Schedules'!L70</f>
        <v/>
      </c>
      <c r="R14" s="352">
        <f>'Working Schedules'!M70</f>
        <v/>
      </c>
      <c r="S14" s="352">
        <f>'Working Schedules'!N70</f>
        <v/>
      </c>
      <c r="T14" s="352">
        <f>'Working Schedules'!O70</f>
        <v/>
      </c>
    </row>
    <row r="15" ht="18" customHeight="1">
      <c r="B15" s="91" t="inlineStr">
        <is>
          <t>EBIT</t>
        </is>
      </c>
      <c r="C15" s="354">
        <f>C13+C14</f>
        <v/>
      </c>
      <c r="D15" s="354">
        <f>D13+D14</f>
        <v/>
      </c>
      <c r="E15" s="354">
        <f>E13+E14</f>
        <v/>
      </c>
      <c r="F15" s="354">
        <f>F13+F14</f>
        <v/>
      </c>
      <c r="G15" s="354">
        <f>G13+G14</f>
        <v/>
      </c>
      <c r="H15" s="354">
        <f>H13+H14</f>
        <v/>
      </c>
      <c r="I15" s="354">
        <f>I13+I14</f>
        <v/>
      </c>
      <c r="J15" s="354">
        <f>J13+J14</f>
        <v/>
      </c>
      <c r="K15" s="354">
        <f>K13+K14</f>
        <v/>
      </c>
      <c r="L15" s="354">
        <f>L13+L14</f>
        <v/>
      </c>
      <c r="M15" s="354">
        <f>M13+M14</f>
        <v/>
      </c>
      <c r="N15" s="354">
        <f>N13+N14</f>
        <v/>
      </c>
      <c r="O15" s="354">
        <f>O13+O14</f>
        <v/>
      </c>
      <c r="P15" s="354">
        <f>P13+P14</f>
        <v/>
      </c>
      <c r="Q15" s="354">
        <f>Q13+Q14</f>
        <v/>
      </c>
      <c r="R15" s="354">
        <f>R13+R14</f>
        <v/>
      </c>
      <c r="S15" s="354">
        <f>S13+S14</f>
        <v/>
      </c>
      <c r="T15" s="354">
        <f>T13+T14</f>
        <v/>
      </c>
    </row>
    <row r="16" ht="18" customHeight="1">
      <c r="B16" t="inlineStr">
        <is>
          <t>Other Income(Inc Interest)</t>
        </is>
      </c>
      <c r="C16" s="356" t="n">
        <v>105.3</v>
      </c>
      <c r="D16" s="356" t="n">
        <v>218.9</v>
      </c>
      <c r="E16" s="356" t="n">
        <v>69.2</v>
      </c>
      <c r="F16" s="356" t="n">
        <v>22</v>
      </c>
      <c r="G16" s="356" t="n">
        <v>39.6</v>
      </c>
      <c r="H16" s="356" t="n">
        <v>35.5</v>
      </c>
      <c r="I16" s="356" t="n">
        <v>73.09999999999999</v>
      </c>
      <c r="J16" s="356" t="n">
        <v>225</v>
      </c>
      <c r="K16" s="356" t="n">
        <v>336</v>
      </c>
      <c r="L16" s="356" t="n">
        <v>478</v>
      </c>
      <c r="M16" s="343" t="n">
        <v>0</v>
      </c>
      <c r="N16" s="343" t="n">
        <v>0</v>
      </c>
      <c r="O16" s="343" t="n">
        <v>0</v>
      </c>
      <c r="P16" s="343" t="n">
        <v>0</v>
      </c>
      <c r="Q16" s="343" t="n">
        <v>0</v>
      </c>
      <c r="R16" s="343" t="n">
        <v>0</v>
      </c>
      <c r="S16" s="343" t="n">
        <v>0</v>
      </c>
      <c r="T16" s="343" t="n">
        <v>0</v>
      </c>
    </row>
    <row r="17" ht="18" customHeight="1">
      <c r="B17" t="inlineStr">
        <is>
          <t>Exceptional Items</t>
        </is>
      </c>
      <c r="C17" s="356">
        <f>'P&amp;L'!C22</f>
        <v/>
      </c>
      <c r="D17" s="356" t="n">
        <v>-44.5</v>
      </c>
      <c r="E17" s="356" t="n">
        <v>2.6</v>
      </c>
      <c r="F17" s="356" t="n">
        <v>66.59999999999999</v>
      </c>
      <c r="G17" s="356" t="n">
        <v>-64.3</v>
      </c>
      <c r="H17" s="356" t="n">
        <v>-165.2</v>
      </c>
      <c r="I17" s="356" t="n">
        <v>176.4</v>
      </c>
      <c r="J17" s="356" t="n">
        <v>-17</v>
      </c>
      <c r="K17" s="356" t="n">
        <v>-65</v>
      </c>
      <c r="L17" s="356" t="n">
        <v>38</v>
      </c>
      <c r="M17" s="356" t="n">
        <v>0</v>
      </c>
      <c r="N17" s="356" t="n">
        <v>0</v>
      </c>
      <c r="O17" s="356" t="n">
        <v>0</v>
      </c>
      <c r="P17" s="356" t="n">
        <v>0</v>
      </c>
      <c r="Q17" s="356" t="n">
        <v>0</v>
      </c>
      <c r="R17" s="356" t="n">
        <v>0</v>
      </c>
      <c r="S17" s="356" t="n">
        <v>0</v>
      </c>
      <c r="T17" s="356" t="n">
        <v>0</v>
      </c>
    </row>
    <row r="18" ht="18" customHeight="1">
      <c r="B18" t="inlineStr">
        <is>
          <t>Interest Paid</t>
        </is>
      </c>
      <c r="C18" s="356" t="n">
        <v>-375.1</v>
      </c>
      <c r="D18" s="356" t="n">
        <v>-277.5</v>
      </c>
      <c r="E18" s="356" t="n">
        <v>-237.2</v>
      </c>
      <c r="F18" s="356" t="n">
        <v>-212</v>
      </c>
      <c r="G18" s="356" t="n">
        <v>-187.6</v>
      </c>
      <c r="H18" s="356" t="n">
        <v>-88</v>
      </c>
      <c r="I18" s="356" t="n">
        <v>-104</v>
      </c>
      <c r="J18" s="356" t="n">
        <v>-76</v>
      </c>
      <c r="K18" s="356" t="n">
        <v>-89</v>
      </c>
      <c r="L18" s="356" t="n">
        <v>-158</v>
      </c>
      <c r="M18" s="352">
        <f>-'Working Schedules'!H33</f>
        <v/>
      </c>
      <c r="N18" s="352">
        <f>-'Working Schedules'!I33</f>
        <v/>
      </c>
      <c r="O18" s="352">
        <f>-'Working Schedules'!J33</f>
        <v/>
      </c>
      <c r="P18" s="352">
        <f>-'Working Schedules'!K33</f>
        <v/>
      </c>
      <c r="Q18" s="352">
        <f>-'Working Schedules'!L33</f>
        <v/>
      </c>
      <c r="R18" s="352">
        <f>-'Working Schedules'!M33</f>
        <v/>
      </c>
      <c r="S18" s="352">
        <f>-'Working Schedules'!N33</f>
        <v/>
      </c>
      <c r="T18" s="352">
        <f>-'Working Schedules'!O33</f>
        <v/>
      </c>
    </row>
    <row r="19" ht="18" customHeight="1">
      <c r="B19" t="inlineStr">
        <is>
          <t>Interest Received</t>
        </is>
      </c>
      <c r="C19" s="352" t="n"/>
      <c r="D19" s="352" t="n"/>
      <c r="E19" s="352" t="n"/>
      <c r="F19" s="352" t="n"/>
      <c r="G19" s="352" t="n"/>
      <c r="H19" s="352" t="n"/>
      <c r="I19" s="352" t="n"/>
      <c r="J19" s="352" t="n"/>
      <c r="K19" s="352" t="n"/>
      <c r="L19" s="352" t="n"/>
      <c r="M19" s="359">
        <f>BS!L45*Assumptions!E9</f>
        <v/>
      </c>
      <c r="N19" s="359">
        <f>BS!M45*Assumptions!F9</f>
        <v/>
      </c>
      <c r="O19" s="359">
        <f>BS!N45*Assumptions!G9</f>
        <v/>
      </c>
      <c r="P19" s="359">
        <f>BS!O45*Assumptions!H9</f>
        <v/>
      </c>
      <c r="Q19" s="359">
        <f>BS!P45*Assumptions!I9</f>
        <v/>
      </c>
      <c r="R19" s="359">
        <f>BS!Q45*Assumptions!J9</f>
        <v/>
      </c>
      <c r="S19" s="359">
        <f>BS!R45*Assumptions!K9</f>
        <v/>
      </c>
      <c r="T19" s="359">
        <f>BS!S45*Assumptions!L9</f>
        <v/>
      </c>
    </row>
    <row r="20" ht="18" customHeight="1">
      <c r="A20" t="inlineStr">
        <is>
          <t>x</t>
        </is>
      </c>
      <c r="B20" s="91" t="inlineStr">
        <is>
          <t>Profit Before Tax (PBT)</t>
        </is>
      </c>
      <c r="C20" s="360">
        <f>SUM(C15:C18)</f>
        <v/>
      </c>
      <c r="D20" s="360">
        <f>SUM(D15:D18)</f>
        <v/>
      </c>
      <c r="E20" s="360">
        <f>SUM(E15:E19)</f>
        <v/>
      </c>
      <c r="F20" s="360">
        <f>SUM(F15:F19)</f>
        <v/>
      </c>
      <c r="G20" s="360">
        <f>SUM(G15:G19)</f>
        <v/>
      </c>
      <c r="H20" s="360">
        <f>SUM(H15:H19)</f>
        <v/>
      </c>
      <c r="I20" s="360">
        <f>SUM(I15:I19)</f>
        <v/>
      </c>
      <c r="J20" s="360">
        <f>SUM(J15:J19)</f>
        <v/>
      </c>
      <c r="K20" s="360">
        <f>SUM(K15:K19)</f>
        <v/>
      </c>
      <c r="L20" s="360">
        <f>SUM(L15:L19)</f>
        <v/>
      </c>
      <c r="M20" s="360">
        <f>SUM(M15:M19)</f>
        <v/>
      </c>
      <c r="N20" s="360">
        <f>SUM(N15:N19)</f>
        <v/>
      </c>
      <c r="O20" s="360">
        <f>SUM(O15:O19)</f>
        <v/>
      </c>
      <c r="P20" s="360">
        <f>SUM(P15:P19)</f>
        <v/>
      </c>
      <c r="Q20" s="360">
        <f>SUM(Q15:Q19)</f>
        <v/>
      </c>
      <c r="R20" s="360">
        <f>SUM(R15:R19)</f>
        <v/>
      </c>
      <c r="S20" s="360">
        <f>SUM(S15:S19)</f>
        <v/>
      </c>
      <c r="T20" s="360">
        <f>SUM(T15:T19)</f>
        <v/>
      </c>
    </row>
    <row r="21" ht="18" customHeight="1">
      <c r="B21" t="inlineStr">
        <is>
          <t>Tax</t>
        </is>
      </c>
      <c r="C21" s="356" t="n">
        <v>-69.7</v>
      </c>
      <c r="D21" s="356" t="n">
        <v>-259.9</v>
      </c>
      <c r="E21" s="356" t="n">
        <v>-328.1</v>
      </c>
      <c r="F21" s="356" t="n">
        <v>-539.7</v>
      </c>
      <c r="G21" s="356" t="n">
        <v>-177.9</v>
      </c>
      <c r="H21" s="356" t="n">
        <v>-276</v>
      </c>
      <c r="I21" s="356" t="n">
        <v>-153</v>
      </c>
      <c r="J21" s="356" t="n">
        <v>-449</v>
      </c>
      <c r="K21" s="356" t="n">
        <v>-553</v>
      </c>
      <c r="L21" s="356" t="n">
        <v>-510</v>
      </c>
      <c r="M21" s="343">
        <f>-M20*Assumptions!E10</f>
        <v/>
      </c>
      <c r="N21" s="343">
        <f>-N20*Assumptions!F10</f>
        <v/>
      </c>
      <c r="O21" s="343">
        <f>-O20*Assumptions!G10</f>
        <v/>
      </c>
      <c r="P21" s="343">
        <f>-P20*Assumptions!H10</f>
        <v/>
      </c>
      <c r="Q21" s="343">
        <f>-Q20*Assumptions!I10</f>
        <v/>
      </c>
      <c r="R21" s="343">
        <f>-R20*Assumptions!J10</f>
        <v/>
      </c>
      <c r="S21" s="343">
        <f>-S20*Assumptions!K10</f>
        <v/>
      </c>
      <c r="T21" s="343">
        <f>-T20*Assumptions!L10</f>
        <v/>
      </c>
    </row>
    <row r="22" ht="18" customHeight="1">
      <c r="B22" t="inlineStr">
        <is>
          <t>Adjustments</t>
        </is>
      </c>
      <c r="C22" s="356" t="n">
        <v>-2.19999999999952</v>
      </c>
      <c r="D22" s="356" t="n">
        <v>-2</v>
      </c>
      <c r="E22" s="356" t="n">
        <v>-1.999999999999091</v>
      </c>
      <c r="F22" s="356" t="n">
        <v>-1.999999999999432</v>
      </c>
      <c r="G22" s="356" t="n">
        <v>0</v>
      </c>
      <c r="H22" s="356" t="n">
        <v>12.9000000000002</v>
      </c>
      <c r="I22" s="356" t="n">
        <v>-0.7000000000000455</v>
      </c>
      <c r="J22" s="356" t="n">
        <v>0</v>
      </c>
      <c r="K22" s="356" t="n">
        <v>0</v>
      </c>
      <c r="L22" s="356" t="n">
        <v>0</v>
      </c>
      <c r="M22" s="356" t="n">
        <v>0</v>
      </c>
      <c r="N22" s="356" t="n">
        <v>0</v>
      </c>
      <c r="O22" s="356" t="n">
        <v>0</v>
      </c>
      <c r="P22" s="356" t="n">
        <v>0</v>
      </c>
      <c r="Q22" s="356" t="n">
        <v>0</v>
      </c>
      <c r="R22" s="356" t="n">
        <v>0</v>
      </c>
      <c r="S22" s="356" t="n">
        <v>0</v>
      </c>
      <c r="T22" s="356" t="n">
        <v>0</v>
      </c>
    </row>
    <row r="23" ht="18" customHeight="1" thickBot="1">
      <c r="A23" t="inlineStr">
        <is>
          <t>x</t>
        </is>
      </c>
      <c r="B23" s="59" t="inlineStr">
        <is>
          <t>Profit After Tax (PAT)</t>
        </is>
      </c>
      <c r="C23" s="361">
        <f>SUM(C20:C22)</f>
        <v/>
      </c>
      <c r="D23" s="361">
        <f>SUM(D20:D22)</f>
        <v/>
      </c>
      <c r="E23" s="361">
        <f>SUM(E20:E22)</f>
        <v/>
      </c>
      <c r="F23" s="361">
        <f>SUM(F20:F22)</f>
        <v/>
      </c>
      <c r="G23" s="361">
        <f>SUM(G20:G22)</f>
        <v/>
      </c>
      <c r="H23" s="361">
        <f>SUM(H20:H22)</f>
        <v/>
      </c>
      <c r="I23" s="361">
        <f>SUM(I20:I22)</f>
        <v/>
      </c>
      <c r="J23" s="361">
        <f>SUM(J20:J22)</f>
        <v/>
      </c>
      <c r="K23" s="361">
        <f>SUM(K20:K22)</f>
        <v/>
      </c>
      <c r="L23" s="361">
        <f>SUM(L20:L22)</f>
        <v/>
      </c>
      <c r="M23" s="361">
        <f>M20+M21</f>
        <v/>
      </c>
      <c r="N23" s="361">
        <f>N20+N21</f>
        <v/>
      </c>
      <c r="O23" s="361">
        <f>O20+O21</f>
        <v/>
      </c>
      <c r="P23" s="361">
        <f>P20+P21</f>
        <v/>
      </c>
      <c r="Q23" s="361">
        <f>Q20+Q21</f>
        <v/>
      </c>
      <c r="R23" s="361">
        <f>R20+R21</f>
        <v/>
      </c>
      <c r="S23" s="361">
        <f>S20+S21</f>
        <v/>
      </c>
      <c r="T23" s="361">
        <f>T20+T21</f>
        <v/>
      </c>
    </row>
    <row r="24" ht="18" customHeight="1" thickTop="1">
      <c r="D24" s="355" t="n"/>
      <c r="E24" s="355" t="n"/>
      <c r="F24" s="355" t="n"/>
      <c r="G24" s="355" t="n"/>
      <c r="H24" s="355" t="n"/>
      <c r="I24" s="355" t="n"/>
      <c r="J24" s="355" t="n"/>
      <c r="K24" s="355" t="n"/>
      <c r="L24" s="355" t="n"/>
      <c r="M24" s="56" t="n"/>
    </row>
    <row r="26" ht="18" customHeight="1">
      <c r="C26" s="362" t="n"/>
      <c r="D26" s="362" t="n"/>
      <c r="E26" s="362" t="n"/>
      <c r="F26" s="362" t="n"/>
      <c r="G26" s="362" t="n"/>
      <c r="H26" s="362" t="n"/>
      <c r="I26" s="362" t="n"/>
      <c r="J26" s="362" t="n"/>
      <c r="K26" s="362" t="n"/>
      <c r="L26" s="363" t="n"/>
      <c r="M26" s="363" t="n"/>
      <c r="N26" s="363" t="n"/>
    </row>
    <row r="27" ht="18" customHeight="1">
      <c r="C27" s="343" t="n"/>
      <c r="D27" s="343" t="n"/>
      <c r="E27" s="343" t="n"/>
      <c r="F27" s="343" t="n"/>
      <c r="G27" s="343" t="n"/>
      <c r="H27" s="343" t="n"/>
      <c r="I27" s="343" t="n"/>
      <c r="J27" s="343" t="n"/>
      <c r="K27" s="343" t="n"/>
      <c r="L27" s="343" t="n"/>
    </row>
    <row r="28" ht="18" customHeight="1">
      <c r="C28" s="343" t="n"/>
      <c r="D28" s="343" t="n"/>
      <c r="E28" s="343" t="n"/>
      <c r="F28" s="343" t="n"/>
      <c r="G28" s="343" t="n"/>
      <c r="H28" s="343" t="n"/>
      <c r="I28" s="343" t="n"/>
      <c r="J28" s="343" t="n"/>
      <c r="K28" s="343" t="n"/>
      <c r="L28" s="343" t="n"/>
    </row>
    <row r="29" ht="18" customHeight="1">
      <c r="L29" s="343" t="n"/>
    </row>
    <row r="38" ht="18" customHeight="1">
      <c r="C38" s="5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T51"/>
  <sheetViews>
    <sheetView showGridLines="0" zoomScale="101" zoomScaleNormal="55" workbookViewId="0">
      <pane xSplit="2" ySplit="4" topLeftCell="G43" activePane="bottomRight" state="frozen"/>
      <selection pane="topRight" activeCell="C1" sqref="C1"/>
      <selection pane="bottomLeft" activeCell="A5" sqref="A5"/>
      <selection pane="bottomRight" activeCell="B8" sqref="B8"/>
    </sheetView>
  </sheetViews>
  <sheetFormatPr baseColWidth="8" defaultRowHeight="19.95" customHeight="1"/>
  <cols>
    <col width="2.77734375" customWidth="1" style="56" min="1" max="1"/>
    <col width="50.77734375" customWidth="1" min="2" max="2"/>
    <col width="10.77734375" customWidth="1" style="343" min="3" max="16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9.95" customHeight="1"/>
    <row r="2" ht="19.95" customHeight="1">
      <c r="B2" s="112" t="inlineStr">
        <is>
          <t>Balance Sheet</t>
        </is>
      </c>
    </row>
    <row r="3" ht="19.95" customHeight="1"/>
    <row r="4" ht="19.95" customHeight="1">
      <c r="B4" s="7" t="inlineStr">
        <is>
          <t>Particulars</t>
        </is>
      </c>
      <c r="C4" s="350" t="n">
        <v>2017</v>
      </c>
      <c r="D4" s="350">
        <f>C4+1</f>
        <v/>
      </c>
      <c r="E4" s="350">
        <f>D4+1</f>
        <v/>
      </c>
      <c r="F4" s="350">
        <f>E4+1</f>
        <v/>
      </c>
      <c r="G4" s="350">
        <f>F4+1</f>
        <v/>
      </c>
      <c r="H4" s="350">
        <f>G4+1</f>
        <v/>
      </c>
      <c r="I4" s="350">
        <f>H4+1</f>
        <v/>
      </c>
      <c r="J4" s="350">
        <f>I4+1</f>
        <v/>
      </c>
      <c r="K4" s="350">
        <f>J4+1</f>
        <v/>
      </c>
      <c r="L4" s="350">
        <f>K4+1</f>
        <v/>
      </c>
      <c r="M4" s="351">
        <f>L4+1</f>
        <v/>
      </c>
      <c r="N4" s="351">
        <f>M4+1</f>
        <v/>
      </c>
      <c r="O4" s="351">
        <f>N4+1</f>
        <v/>
      </c>
      <c r="P4" s="351">
        <f>O4+1</f>
        <v/>
      </c>
      <c r="Q4" s="351">
        <f>P4+1</f>
        <v/>
      </c>
      <c r="R4" s="351">
        <f>Q4+1</f>
        <v/>
      </c>
      <c r="S4" s="351">
        <f>R4+1</f>
        <v/>
      </c>
      <c r="T4" s="351">
        <f>S4+1</f>
        <v/>
      </c>
    </row>
    <row r="5" ht="4.95" customHeight="1"/>
    <row r="6" ht="19.95" customHeight="1">
      <c r="A6" s="56" t="inlineStr">
        <is>
          <t>x</t>
        </is>
      </c>
      <c r="B6" s="109" t="inlineStr">
        <is>
          <t>Equities &amp; Liablilities</t>
        </is>
      </c>
    </row>
    <row r="7" ht="18" customHeight="1">
      <c r="B7" s="7" t="inlineStr">
        <is>
          <t>Shareholders' Fund</t>
        </is>
      </c>
    </row>
    <row r="8" ht="18" customHeight="1">
      <c r="B8" s="8" t="inlineStr">
        <is>
          <t>Share Capital</t>
        </is>
      </c>
      <c r="C8" s="356" t="n">
        <v>145.3</v>
      </c>
      <c r="D8" s="356" t="n">
        <v>145.3</v>
      </c>
      <c r="E8" s="356" t="n">
        <v>145.3</v>
      </c>
      <c r="F8" s="356" t="n">
        <v>145.3</v>
      </c>
      <c r="G8" s="356" t="n">
        <v>145.3</v>
      </c>
      <c r="H8" s="356" t="n">
        <v>145.3</v>
      </c>
      <c r="I8" s="356" t="n">
        <v>145.5</v>
      </c>
      <c r="J8" s="356" t="n">
        <v>145</v>
      </c>
      <c r="K8" s="356" t="n">
        <v>145</v>
      </c>
      <c r="L8" s="356" t="n">
        <v>145</v>
      </c>
      <c r="M8" s="352">
        <f>L8</f>
        <v/>
      </c>
      <c r="N8" s="352">
        <f>M8</f>
        <v/>
      </c>
      <c r="O8" s="352">
        <f>N8</f>
        <v/>
      </c>
      <c r="P8" s="352">
        <f>O8</f>
        <v/>
      </c>
      <c r="Q8" s="352">
        <f>P8</f>
        <v/>
      </c>
      <c r="R8" s="352">
        <f>Q8</f>
        <v/>
      </c>
      <c r="S8" s="352">
        <f>R8</f>
        <v/>
      </c>
      <c r="T8" s="352">
        <f>S8</f>
        <v/>
      </c>
    </row>
    <row r="9" ht="18" customHeight="1">
      <c r="B9" s="8" t="inlineStr">
        <is>
          <t>Reserve &amp; Surplus</t>
        </is>
      </c>
      <c r="C9" s="356" t="n">
        <v>1640.3</v>
      </c>
      <c r="D9" s="356" t="n">
        <v>2273.8</v>
      </c>
      <c r="E9" s="356" t="n">
        <v>2945</v>
      </c>
      <c r="F9" s="356" t="n">
        <v>3582.7</v>
      </c>
      <c r="G9" s="356" t="n">
        <v>3974.5</v>
      </c>
      <c r="H9" s="356" t="n">
        <v>4808.4</v>
      </c>
      <c r="I9" s="356" t="n">
        <v>5854</v>
      </c>
      <c r="J9" s="356" t="n">
        <v>6976</v>
      </c>
      <c r="K9" s="356" t="n">
        <v>7959</v>
      </c>
      <c r="L9" s="356" t="n">
        <v>8808</v>
      </c>
      <c r="M9" s="343">
        <f>L9+M10+M11</f>
        <v/>
      </c>
      <c r="N9" s="343">
        <f>M9+N10+N11</f>
        <v/>
      </c>
      <c r="O9" s="343">
        <f>N9+O10+O11</f>
        <v/>
      </c>
      <c r="P9" s="343">
        <f>O9+P10+P11</f>
        <v/>
      </c>
      <c r="Q9" s="343">
        <f>P9+Q10+Q11</f>
        <v/>
      </c>
      <c r="R9" s="343">
        <f>Q9+R10+R11</f>
        <v/>
      </c>
      <c r="S9" s="343">
        <f>R9+S10+S11</f>
        <v/>
      </c>
      <c r="T9" s="343">
        <f>S9+T10+T11</f>
        <v/>
      </c>
    </row>
    <row r="10" ht="18" customHeight="1">
      <c r="B10" s="8" t="inlineStr">
        <is>
          <t>PAT</t>
        </is>
      </c>
      <c r="C10" s="356" t="n"/>
      <c r="D10" s="356" t="n"/>
      <c r="E10" s="356" t="n"/>
      <c r="F10" s="356" t="n"/>
      <c r="G10" s="356" t="n"/>
      <c r="H10" s="356" t="n"/>
      <c r="I10" s="356" t="n"/>
      <c r="J10" s="356" t="n"/>
      <c r="K10" s="356" t="n"/>
      <c r="L10" s="356" t="n"/>
      <c r="M10" s="352">
        <f>PL!M23</f>
        <v/>
      </c>
      <c r="N10" s="352">
        <f>PL!N23</f>
        <v/>
      </c>
      <c r="O10" s="352">
        <f>PL!O23</f>
        <v/>
      </c>
      <c r="P10" s="352">
        <f>PL!P23</f>
        <v/>
      </c>
      <c r="Q10" s="352">
        <f>PL!Q23</f>
        <v/>
      </c>
      <c r="R10" s="352">
        <f>PL!R23</f>
        <v/>
      </c>
      <c r="S10" s="352">
        <f>PL!S23</f>
        <v/>
      </c>
      <c r="T10" s="352">
        <f>PL!T23</f>
        <v/>
      </c>
    </row>
    <row r="11" ht="18" customHeight="1">
      <c r="B11" s="8" t="inlineStr">
        <is>
          <t>Dividend Payout</t>
        </is>
      </c>
      <c r="C11" s="356" t="n"/>
      <c r="D11" s="356" t="n"/>
      <c r="E11" s="356" t="n"/>
      <c r="F11" s="356" t="n"/>
      <c r="G11" s="356" t="n"/>
      <c r="H11" s="356" t="n"/>
      <c r="I11" s="356" t="n"/>
      <c r="J11" s="356" t="n"/>
      <c r="K11" s="356" t="n"/>
      <c r="L11" s="356" t="n"/>
      <c r="M11" s="343">
        <f>-M10*Assumptions!E11</f>
        <v/>
      </c>
      <c r="N11" s="343">
        <f>-N10*Assumptions!F11</f>
        <v/>
      </c>
      <c r="O11" s="343">
        <f>-O10*Assumptions!G11</f>
        <v/>
      </c>
      <c r="P11" s="343">
        <f>-P10*Assumptions!H11</f>
        <v/>
      </c>
      <c r="Q11" s="343">
        <f>-Q10*Assumptions!I11</f>
        <v/>
      </c>
      <c r="R11" s="343">
        <f>-R10*Assumptions!J11</f>
        <v/>
      </c>
      <c r="S11" s="343">
        <f>-S10*Assumptions!K11</f>
        <v/>
      </c>
      <c r="T11" s="343">
        <f>-T10*Assumptions!L11</f>
        <v/>
      </c>
    </row>
    <row r="12" ht="18" customHeight="1">
      <c r="B12" s="9" t="inlineStr">
        <is>
          <t>Total Shareholders' Fund</t>
        </is>
      </c>
      <c r="C12" s="348">
        <f>SUM(C8:C9)</f>
        <v/>
      </c>
      <c r="D12" s="348">
        <f>SUM(D8:D9)</f>
        <v/>
      </c>
      <c r="E12" s="348">
        <f>SUM(E8:E9)</f>
        <v/>
      </c>
      <c r="F12" s="348">
        <f>SUM(F8:F9)</f>
        <v/>
      </c>
      <c r="G12" s="348">
        <f>SUM(G8:G9)</f>
        <v/>
      </c>
      <c r="H12" s="348">
        <f>SUM(H8:H9)</f>
        <v/>
      </c>
      <c r="I12" s="348">
        <f>SUM(I8:I9)</f>
        <v/>
      </c>
      <c r="J12" s="348">
        <f>SUM(J8:J9)</f>
        <v/>
      </c>
      <c r="K12" s="348">
        <f>SUM(K8:K9)</f>
        <v/>
      </c>
      <c r="L12" s="348">
        <f>SUM(L8:L9)</f>
        <v/>
      </c>
      <c r="M12" s="348">
        <f>SUM(M8:M9)</f>
        <v/>
      </c>
      <c r="N12" s="348">
        <f>SUM(N8:N9)</f>
        <v/>
      </c>
      <c r="O12" s="348">
        <f>SUM(O8:O9)</f>
        <v/>
      </c>
      <c r="P12" s="348">
        <f>SUM(P8:P9)</f>
        <v/>
      </c>
      <c r="Q12" s="348">
        <f>SUM(Q8:Q9)</f>
        <v/>
      </c>
      <c r="R12" s="348">
        <f>SUM(R8:R9)</f>
        <v/>
      </c>
      <c r="S12" s="348">
        <f>SUM(S8:S9)</f>
        <v/>
      </c>
      <c r="T12" s="348">
        <f>SUM(T8:T9)</f>
        <v/>
      </c>
    </row>
    <row r="13" ht="18" customHeight="1"/>
    <row r="14" ht="18" customHeight="1">
      <c r="A14" s="56" t="inlineStr">
        <is>
          <t>x</t>
        </is>
      </c>
      <c r="B14" s="7" t="inlineStr">
        <is>
          <t>Non-Current Liabilities</t>
        </is>
      </c>
    </row>
    <row r="15" ht="18" customHeight="1">
      <c r="B15" s="8" t="inlineStr">
        <is>
          <t>Long Term Borrowings</t>
        </is>
      </c>
      <c r="C15" s="356" t="n">
        <v>869.7</v>
      </c>
      <c r="D15" s="356" t="n">
        <v>762.8</v>
      </c>
      <c r="E15" s="356" t="n">
        <v>780.4</v>
      </c>
      <c r="F15" s="356" t="n">
        <v>14.7</v>
      </c>
      <c r="G15" s="356" t="n">
        <v>2.2</v>
      </c>
      <c r="H15" s="356" t="n">
        <v>0.9</v>
      </c>
      <c r="I15" s="356" t="n">
        <v>0.3</v>
      </c>
      <c r="J15" s="356" t="n">
        <v>0</v>
      </c>
      <c r="K15" s="356" t="n">
        <v>0</v>
      </c>
      <c r="L15" s="356" t="n">
        <v>0</v>
      </c>
      <c r="M15" s="352">
        <f>L15</f>
        <v/>
      </c>
      <c r="N15" s="352">
        <f>M15</f>
        <v/>
      </c>
      <c r="O15" s="352">
        <f>N15</f>
        <v/>
      </c>
      <c r="P15" s="352">
        <f>O15</f>
        <v/>
      </c>
      <c r="Q15" s="352">
        <f>P15</f>
        <v/>
      </c>
      <c r="R15" s="352">
        <f>Q15</f>
        <v/>
      </c>
      <c r="S15" s="352">
        <f>R15</f>
        <v/>
      </c>
      <c r="T15" s="352">
        <f>S15</f>
        <v/>
      </c>
    </row>
    <row r="16" ht="18" customHeight="1">
      <c r="B16" s="8" t="inlineStr">
        <is>
          <t>Deferred Tax Liabilities [Net]</t>
        </is>
      </c>
      <c r="C16" s="356" t="n">
        <v>0</v>
      </c>
      <c r="D16" s="356" t="n">
        <v>0</v>
      </c>
      <c r="E16" s="356" t="n">
        <v>0</v>
      </c>
      <c r="F16" s="356" t="n">
        <v>7.6</v>
      </c>
      <c r="G16" s="356" t="n">
        <v>26.1</v>
      </c>
      <c r="H16" s="356" t="n">
        <v>48.3</v>
      </c>
      <c r="I16" s="356" t="n">
        <v>45.1</v>
      </c>
      <c r="J16" s="356" t="n">
        <v>73</v>
      </c>
      <c r="K16" s="356" t="n">
        <v>72</v>
      </c>
      <c r="L16" s="356" t="n">
        <v>18</v>
      </c>
      <c r="M16" s="352">
        <f>L16</f>
        <v/>
      </c>
      <c r="N16" s="352">
        <f>M16</f>
        <v/>
      </c>
      <c r="O16" s="352">
        <f>N16</f>
        <v/>
      </c>
      <c r="P16" s="352">
        <f>O16</f>
        <v/>
      </c>
      <c r="Q16" s="352">
        <f>P16</f>
        <v/>
      </c>
      <c r="R16" s="352">
        <f>Q16</f>
        <v/>
      </c>
      <c r="S16" s="352">
        <f>R16</f>
        <v/>
      </c>
      <c r="T16" s="352">
        <f>S16</f>
        <v/>
      </c>
    </row>
    <row r="17" ht="18" customHeight="1">
      <c r="B17" s="8" t="inlineStr">
        <is>
          <t>Lease Liabilities</t>
        </is>
      </c>
      <c r="C17" s="356" t="n">
        <v>13.5</v>
      </c>
      <c r="D17" s="356" t="n">
        <v>7</v>
      </c>
      <c r="E17" s="356" t="n">
        <v>23.9</v>
      </c>
      <c r="F17" s="356" t="n">
        <v>196.5</v>
      </c>
      <c r="G17" s="356" t="n">
        <v>157.8</v>
      </c>
      <c r="H17" s="356" t="n">
        <v>263.9</v>
      </c>
      <c r="I17" s="356" t="n">
        <v>182.4</v>
      </c>
      <c r="J17" s="356" t="n">
        <v>240.4</v>
      </c>
      <c r="K17" s="356" t="n">
        <v>480</v>
      </c>
      <c r="L17" s="356" t="n">
        <v>407</v>
      </c>
      <c r="M17" s="352">
        <f>'Working Schedules'!H22</f>
        <v/>
      </c>
      <c r="N17" s="352">
        <f>'Working Schedules'!I22</f>
        <v/>
      </c>
      <c r="O17" s="352">
        <f>'Working Schedules'!J22</f>
        <v/>
      </c>
      <c r="P17" s="352">
        <f>'Working Schedules'!K22</f>
        <v/>
      </c>
      <c r="Q17" s="352">
        <f>'Working Schedules'!L22</f>
        <v/>
      </c>
      <c r="R17" s="352">
        <f>'Working Schedules'!M22</f>
        <v/>
      </c>
      <c r="S17" s="352">
        <f>'Working Schedules'!N22</f>
        <v/>
      </c>
      <c r="T17" s="352">
        <f>'Working Schedules'!O22</f>
        <v/>
      </c>
    </row>
    <row r="18" ht="18" customHeight="1">
      <c r="B18" s="9" t="inlineStr">
        <is>
          <t>Total Non-Current Liabilities</t>
        </is>
      </c>
      <c r="C18" s="348">
        <f>SUM(C15:C17)</f>
        <v/>
      </c>
      <c r="D18" s="348">
        <f>SUM(D15:D17)</f>
        <v/>
      </c>
      <c r="E18" s="348">
        <f>SUM(E15:E17)</f>
        <v/>
      </c>
      <c r="F18" s="348">
        <f>SUM(F15:F17)</f>
        <v/>
      </c>
      <c r="G18" s="348">
        <f>SUM(G15:G17)</f>
        <v/>
      </c>
      <c r="H18" s="348">
        <f>SUM(H15:H17)</f>
        <v/>
      </c>
      <c r="I18" s="348">
        <f>SUM(I15:I17)</f>
        <v/>
      </c>
      <c r="J18" s="348">
        <f>SUM(J15:J17)</f>
        <v/>
      </c>
      <c r="K18" s="348">
        <f>SUM(K15:K17)</f>
        <v/>
      </c>
      <c r="L18" s="348">
        <f>SUM(L15:L17)</f>
        <v/>
      </c>
      <c r="M18" s="348">
        <f>SUM(M15:M17)</f>
        <v/>
      </c>
      <c r="N18" s="348">
        <f>SUM(N15:N17)</f>
        <v/>
      </c>
      <c r="O18" s="348">
        <f>SUM(O15:O17)</f>
        <v/>
      </c>
      <c r="P18" s="348">
        <f>SUM(P15:P17)</f>
        <v/>
      </c>
      <c r="Q18" s="348">
        <f>SUM(Q15:Q17)</f>
        <v/>
      </c>
      <c r="R18" s="348">
        <f>SUM(R15:R17)</f>
        <v/>
      </c>
      <c r="S18" s="348">
        <f>SUM(S15:S17)</f>
        <v/>
      </c>
      <c r="T18" s="348">
        <f>SUM(T15:T17)</f>
        <v/>
      </c>
    </row>
    <row r="19" ht="18" customHeight="1">
      <c r="B19" s="9" t="n"/>
      <c r="C19" s="348" t="n"/>
      <c r="D19" s="348" t="n"/>
      <c r="E19" s="348" t="n"/>
      <c r="F19" s="348" t="n"/>
      <c r="G19" s="348" t="n"/>
      <c r="H19" s="348" t="n"/>
      <c r="I19" s="348" t="n"/>
      <c r="J19" s="348" t="n"/>
      <c r="K19" s="348" t="n"/>
      <c r="L19" s="348" t="n"/>
      <c r="M19" s="348" t="n"/>
      <c r="N19" s="348" t="n"/>
      <c r="O19" s="348" t="n"/>
      <c r="P19" s="348" t="n"/>
      <c r="Q19" s="348" t="n"/>
      <c r="R19" s="348" t="n"/>
      <c r="S19" s="348" t="n"/>
      <c r="T19" s="348" t="n"/>
    </row>
    <row r="20" ht="18" customHeight="1">
      <c r="A20" s="56" t="inlineStr">
        <is>
          <t>x</t>
        </is>
      </c>
      <c r="B20" s="30" t="inlineStr">
        <is>
          <t>Current Liabilities</t>
        </is>
      </c>
    </row>
    <row r="21" ht="18" customHeight="1">
      <c r="B21" s="8" t="inlineStr">
        <is>
          <t>Trade Payables</t>
        </is>
      </c>
      <c r="C21" s="356" t="n">
        <v>1224.7</v>
      </c>
      <c r="D21" s="356" t="n">
        <v>1455.1</v>
      </c>
      <c r="E21" s="356" t="n">
        <v>1408.3</v>
      </c>
      <c r="F21" s="356" t="n">
        <v>1199.4</v>
      </c>
      <c r="G21" s="356" t="n">
        <v>1417.2</v>
      </c>
      <c r="H21" s="356" t="n">
        <v>1582.1</v>
      </c>
      <c r="I21" s="356" t="n">
        <v>1782.5</v>
      </c>
      <c r="J21" s="356" t="n">
        <v>1954</v>
      </c>
      <c r="K21" s="356" t="n">
        <v>2239</v>
      </c>
      <c r="L21" s="356" t="n">
        <v>2383</v>
      </c>
      <c r="M21" s="343">
        <f>'Working Capital Schedule'!M15</f>
        <v/>
      </c>
      <c r="N21" s="343">
        <f>'Working Capital Schedule'!N15</f>
        <v/>
      </c>
      <c r="O21" s="343">
        <f>'Working Capital Schedule'!O15</f>
        <v/>
      </c>
      <c r="P21" s="343">
        <f>'Working Capital Schedule'!P15</f>
        <v/>
      </c>
      <c r="Q21" s="343">
        <f>'Working Capital Schedule'!Q15</f>
        <v/>
      </c>
      <c r="R21" s="343">
        <f>'Working Capital Schedule'!R15</f>
        <v/>
      </c>
      <c r="S21" s="343">
        <f>'Working Capital Schedule'!S15</f>
        <v/>
      </c>
      <c r="T21" s="343">
        <f>'Working Capital Schedule'!T15</f>
        <v/>
      </c>
    </row>
    <row r="22" ht="18" customHeight="1">
      <c r="B22" s="8" t="inlineStr">
        <is>
          <t>Short Term Borrowings</t>
        </is>
      </c>
      <c r="C22" s="356" t="n">
        <v>2906.9</v>
      </c>
      <c r="D22" s="356" t="n">
        <v>2301.3</v>
      </c>
      <c r="E22" s="356" t="n">
        <v>2089.4</v>
      </c>
      <c r="F22" s="356" t="n">
        <v>1606</v>
      </c>
      <c r="G22" s="356" t="n">
        <v>874.5</v>
      </c>
      <c r="H22" s="356" t="n">
        <v>340.8</v>
      </c>
      <c r="I22" s="356" t="n">
        <v>0.8</v>
      </c>
      <c r="J22" s="356" t="n">
        <v>25</v>
      </c>
      <c r="K22" s="356" t="n">
        <v>0</v>
      </c>
      <c r="L22" s="356" t="n">
        <v>6</v>
      </c>
      <c r="M22" s="352">
        <f>L22</f>
        <v/>
      </c>
      <c r="N22" s="352">
        <f>M22</f>
        <v/>
      </c>
      <c r="O22" s="352">
        <f>N22</f>
        <v/>
      </c>
      <c r="P22" s="352">
        <f>O22</f>
        <v/>
      </c>
      <c r="Q22" s="352">
        <f>P22</f>
        <v/>
      </c>
      <c r="R22" s="352">
        <f>Q22</f>
        <v/>
      </c>
      <c r="S22" s="352">
        <f>R22</f>
        <v/>
      </c>
      <c r="T22" s="352">
        <f>S22</f>
        <v/>
      </c>
    </row>
    <row r="23" ht="18" customHeight="1">
      <c r="B23" s="8" t="inlineStr">
        <is>
          <t>ST Provisions</t>
        </is>
      </c>
      <c r="C23" s="356" t="n">
        <v>319.4</v>
      </c>
      <c r="D23" s="356" t="n">
        <v>361.9</v>
      </c>
      <c r="E23" s="356" t="n">
        <v>399.2</v>
      </c>
      <c r="F23" s="356" t="n">
        <v>462.1</v>
      </c>
      <c r="G23" s="356" t="n">
        <v>583.4</v>
      </c>
      <c r="H23" s="356" t="n">
        <v>502.9</v>
      </c>
      <c r="I23" s="356" t="n">
        <v>385.4</v>
      </c>
      <c r="J23" s="356" t="n">
        <v>383</v>
      </c>
      <c r="K23" s="356" t="n">
        <v>391</v>
      </c>
      <c r="L23" s="356" t="n">
        <v>541</v>
      </c>
      <c r="M23" s="343">
        <f>Assumptions!E23*PL!M6</f>
        <v/>
      </c>
      <c r="N23" s="343">
        <f>Assumptions!F23*PL!N6</f>
        <v/>
      </c>
      <c r="O23" s="343">
        <f>Assumptions!G23*PL!O6</f>
        <v/>
      </c>
      <c r="P23" s="343">
        <f>Assumptions!H23*PL!P6</f>
        <v/>
      </c>
      <c r="Q23" s="343">
        <f>Assumptions!I23*PL!Q6</f>
        <v/>
      </c>
      <c r="R23" s="343">
        <f>Assumptions!J23*PL!R6</f>
        <v/>
      </c>
      <c r="S23" s="343">
        <f>Assumptions!K23*PL!S6</f>
        <v/>
      </c>
      <c r="T23" s="343">
        <f>Assumptions!L23*PL!T6</f>
        <v/>
      </c>
    </row>
    <row r="24" ht="18" customHeight="1">
      <c r="B24" s="8" t="inlineStr">
        <is>
          <t>Other Current Liabilities</t>
        </is>
      </c>
      <c r="C24" s="356" t="n">
        <v>1776.100000000001</v>
      </c>
      <c r="D24" s="356" t="n">
        <v>1649.099999999999</v>
      </c>
      <c r="E24" s="356" t="n">
        <v>1317.400000000001</v>
      </c>
      <c r="F24" s="356" t="n">
        <v>1637</v>
      </c>
      <c r="G24" s="356" t="n">
        <v>1356</v>
      </c>
      <c r="H24" s="356" t="n">
        <v>1218.7</v>
      </c>
      <c r="I24" s="356" t="n">
        <v>1365.5</v>
      </c>
      <c r="J24" s="356" t="n">
        <v>1452.6</v>
      </c>
      <c r="K24" s="356" t="n">
        <v>1962</v>
      </c>
      <c r="L24" s="356" t="n">
        <v>2161</v>
      </c>
      <c r="M24" s="343">
        <f>Assumptions!E24*PL!M6</f>
        <v/>
      </c>
      <c r="N24" s="343">
        <f>Assumptions!F24*PL!N6</f>
        <v/>
      </c>
      <c r="O24" s="343">
        <f>Assumptions!G24*PL!O6</f>
        <v/>
      </c>
      <c r="P24" s="343">
        <f>Assumptions!H24*PL!P6</f>
        <v/>
      </c>
      <c r="Q24" s="343">
        <f>Assumptions!I24*PL!Q6</f>
        <v/>
      </c>
      <c r="R24" s="343">
        <f>Assumptions!J24*PL!R6</f>
        <v/>
      </c>
      <c r="S24" s="343">
        <f>Assumptions!K24*PL!S6</f>
        <v/>
      </c>
      <c r="T24" s="343">
        <f>Assumptions!L24*PL!T6</f>
        <v/>
      </c>
    </row>
    <row r="25" ht="18" customHeight="1">
      <c r="B25" s="9" t="inlineStr">
        <is>
          <t>Total Current Liabilities</t>
        </is>
      </c>
      <c r="C25" s="348">
        <f>SUM(C21:C24)</f>
        <v/>
      </c>
      <c r="D25" s="348">
        <f>SUM(D21:D24)</f>
        <v/>
      </c>
      <c r="E25" s="348">
        <f>SUM(E21:E24)</f>
        <v/>
      </c>
      <c r="F25" s="348">
        <f>SUM(F21:F24)</f>
        <v/>
      </c>
      <c r="G25" s="348">
        <f>SUM(G21:G24)</f>
        <v/>
      </c>
      <c r="H25" s="348">
        <f>SUM(H21:H24)</f>
        <v/>
      </c>
      <c r="I25" s="348">
        <f>SUM(I21:I24)</f>
        <v/>
      </c>
      <c r="J25" s="348">
        <f>SUM(J21:J24)</f>
        <v/>
      </c>
      <c r="K25" s="348">
        <f>SUM(K21:K24)</f>
        <v/>
      </c>
      <c r="L25" s="348">
        <f>SUM(L21:L24)</f>
        <v/>
      </c>
      <c r="M25" s="348">
        <f>SUM(M21:M24)</f>
        <v/>
      </c>
      <c r="N25" s="348">
        <f>SUM(N21:N24)</f>
        <v/>
      </c>
      <c r="O25" s="348">
        <f>SUM(O21:O24)</f>
        <v/>
      </c>
      <c r="P25" s="348">
        <f>SUM(P21:P24)</f>
        <v/>
      </c>
      <c r="Q25" s="348">
        <f>SUM(Q21:Q24)</f>
        <v/>
      </c>
      <c r="R25" s="348">
        <f>SUM(R21:R24)</f>
        <v/>
      </c>
      <c r="S25" s="348">
        <f>SUM(S21:S24)</f>
        <v/>
      </c>
      <c r="T25" s="348">
        <f>SUM(T21:T24)</f>
        <v/>
      </c>
    </row>
    <row r="26" ht="18" customHeight="1"/>
    <row r="27" ht="18" customHeight="1">
      <c r="A27" s="56" t="inlineStr">
        <is>
          <t>x</t>
        </is>
      </c>
      <c r="B27" s="7" t="inlineStr">
        <is>
          <t>Total Equity &amp; Liabilities</t>
        </is>
      </c>
      <c r="C27" s="348">
        <f>C12+C18+C25</f>
        <v/>
      </c>
      <c r="D27" s="348">
        <f>D12+D18+D25</f>
        <v/>
      </c>
      <c r="E27" s="348">
        <f>E12+E18+E25</f>
        <v/>
      </c>
      <c r="F27" s="348">
        <f>F12+F18+F25</f>
        <v/>
      </c>
      <c r="G27" s="348">
        <f>G12+G18+G25</f>
        <v/>
      </c>
      <c r="H27" s="348">
        <f>H12+H18+H25</f>
        <v/>
      </c>
      <c r="I27" s="348">
        <f>I12+I18+I25</f>
        <v/>
      </c>
      <c r="J27" s="348">
        <f>J12+J18+J25</f>
        <v/>
      </c>
      <c r="K27" s="348">
        <f>K12+K18+K25</f>
        <v/>
      </c>
      <c r="L27" s="348">
        <f>L12+L18+L25</f>
        <v/>
      </c>
      <c r="M27" s="348">
        <f>M12+M18+M25</f>
        <v/>
      </c>
      <c r="N27" s="348">
        <f>N12+N18+N25</f>
        <v/>
      </c>
      <c r="O27" s="348">
        <f>O12+O18+O25</f>
        <v/>
      </c>
      <c r="P27" s="348">
        <f>P12+P18+P25</f>
        <v/>
      </c>
      <c r="Q27" s="348">
        <f>Q12+Q18+Q25</f>
        <v/>
      </c>
      <c r="R27" s="348">
        <f>R12+R18+R25</f>
        <v/>
      </c>
      <c r="S27" s="348">
        <f>S12+S18+S25</f>
        <v/>
      </c>
      <c r="T27" s="348">
        <f>T12+T18+T25</f>
        <v/>
      </c>
    </row>
    <row r="28" ht="18" customHeight="1"/>
    <row r="29" ht="18" customHeight="1">
      <c r="B29" s="109" t="inlineStr">
        <is>
          <t>Assets</t>
        </is>
      </c>
    </row>
    <row r="30" ht="18" customHeight="1">
      <c r="B30" s="7" t="inlineStr">
        <is>
          <t>Non-Current Assets</t>
        </is>
      </c>
    </row>
    <row r="31" ht="18" customHeight="1">
      <c r="B31" s="7" t="inlineStr">
        <is>
          <t>Fixed Assets</t>
        </is>
      </c>
    </row>
    <row r="32" ht="18" customHeight="1">
      <c r="B32" s="8" t="inlineStr">
        <is>
          <t>Property Plant &amp; Equip</t>
        </is>
      </c>
      <c r="C32" s="343" t="n">
        <v>1455.4</v>
      </c>
      <c r="D32" s="343" t="n">
        <v>1418.2</v>
      </c>
      <c r="E32" s="356" t="n">
        <v>1371.4</v>
      </c>
      <c r="F32" s="356" t="n">
        <v>1353.8</v>
      </c>
      <c r="G32" s="356" t="n">
        <v>1324.7</v>
      </c>
      <c r="H32" s="356" t="n">
        <v>1215.2</v>
      </c>
      <c r="I32" s="356" t="n">
        <v>978.3</v>
      </c>
      <c r="J32" s="356" t="n">
        <v>844</v>
      </c>
      <c r="K32" s="356" t="n">
        <v>850</v>
      </c>
      <c r="L32" s="356" t="n">
        <v>1215</v>
      </c>
      <c r="M32" s="352">
        <f>'Working Schedules'!H67</f>
        <v/>
      </c>
      <c r="N32" s="352">
        <f>'Working Schedules'!I67</f>
        <v/>
      </c>
      <c r="O32" s="352">
        <f>'Working Schedules'!J67</f>
        <v/>
      </c>
      <c r="P32" s="352">
        <f>'Working Schedules'!K67</f>
        <v/>
      </c>
      <c r="Q32" s="352">
        <f>'Working Schedules'!L67</f>
        <v/>
      </c>
      <c r="R32" s="352">
        <f>'Working Schedules'!M67</f>
        <v/>
      </c>
      <c r="S32" s="352">
        <f>'Working Schedules'!N67</f>
        <v/>
      </c>
      <c r="T32" s="352">
        <f>'Working Schedules'!O67</f>
        <v/>
      </c>
    </row>
    <row r="33" ht="18" customHeight="1">
      <c r="B33" s="8" t="inlineStr">
        <is>
          <t>Capital Work in Progress</t>
        </is>
      </c>
      <c r="C33" s="343" t="n">
        <v>199.3</v>
      </c>
      <c r="D33" s="343" t="n">
        <v>101.8</v>
      </c>
      <c r="E33" s="356" t="n">
        <v>101.9</v>
      </c>
      <c r="F33" s="356" t="n">
        <v>104.1</v>
      </c>
      <c r="G33" s="356" t="n">
        <v>88.3</v>
      </c>
      <c r="H33" s="356" t="n">
        <v>87.7</v>
      </c>
      <c r="I33" s="356" t="n">
        <v>66.8</v>
      </c>
      <c r="J33" s="356" t="n">
        <v>37</v>
      </c>
      <c r="K33" s="356" t="n">
        <v>72</v>
      </c>
      <c r="L33" s="356" t="n">
        <v>77</v>
      </c>
      <c r="M33" s="352">
        <f>'Working Schedules'!H44</f>
        <v/>
      </c>
      <c r="N33" s="352">
        <f>'Working Schedules'!I44</f>
        <v/>
      </c>
      <c r="O33" s="352">
        <f>'Working Schedules'!J44</f>
        <v/>
      </c>
      <c r="P33" s="352">
        <f>'Working Schedules'!K44</f>
        <v/>
      </c>
      <c r="Q33" s="352">
        <f>'Working Schedules'!L44</f>
        <v/>
      </c>
      <c r="R33" s="352">
        <f>'Working Schedules'!M44</f>
        <v/>
      </c>
      <c r="S33" s="352">
        <f>'Working Schedules'!N44</f>
        <v/>
      </c>
      <c r="T33" s="352">
        <f>'Working Schedules'!O44</f>
        <v/>
      </c>
    </row>
    <row r="34" ht="18" customHeight="1">
      <c r="B34" s="8" t="inlineStr">
        <is>
          <t>ROU Assets</t>
        </is>
      </c>
      <c r="E34" s="356" t="n"/>
      <c r="F34" s="356" t="n">
        <v>197.5</v>
      </c>
      <c r="G34" s="356" t="n">
        <v>164.4</v>
      </c>
      <c r="H34" s="356" t="n">
        <v>260.6</v>
      </c>
      <c r="I34" s="356" t="n">
        <v>172.6</v>
      </c>
      <c r="J34" s="356" t="n">
        <v>226.6</v>
      </c>
      <c r="K34" s="356" t="n">
        <v>456.6</v>
      </c>
      <c r="L34" s="356" t="n">
        <v>500.49</v>
      </c>
      <c r="M34" s="352">
        <f>'Working Schedules'!H55</f>
        <v/>
      </c>
      <c r="N34" s="352">
        <f>'Working Schedules'!I55</f>
        <v/>
      </c>
      <c r="O34" s="352">
        <f>'Working Schedules'!J55</f>
        <v/>
      </c>
      <c r="P34" s="352">
        <f>'Working Schedules'!K55</f>
        <v/>
      </c>
      <c r="Q34" s="352">
        <f>'Working Schedules'!L55</f>
        <v/>
      </c>
      <c r="R34" s="352">
        <f>'Working Schedules'!M55</f>
        <v/>
      </c>
      <c r="S34" s="352">
        <f>'Working Schedules'!N55</f>
        <v/>
      </c>
      <c r="T34" s="352">
        <f>'Working Schedules'!O55</f>
        <v/>
      </c>
    </row>
    <row r="35" ht="18" customHeight="1">
      <c r="B35" s="8" t="inlineStr">
        <is>
          <t>Intangible Assets</t>
        </is>
      </c>
      <c r="C35" s="343" t="n">
        <v>393.2</v>
      </c>
      <c r="D35" s="343" t="n">
        <v>383.8</v>
      </c>
      <c r="E35" s="356" t="n">
        <v>373.7</v>
      </c>
      <c r="F35" s="356" t="n">
        <v>383.6</v>
      </c>
      <c r="G35" s="356" t="n">
        <v>375.5</v>
      </c>
      <c r="H35" s="356" t="n">
        <v>358</v>
      </c>
      <c r="I35" s="356" t="n">
        <v>356.7</v>
      </c>
      <c r="J35" s="356" t="n">
        <v>349</v>
      </c>
      <c r="K35" s="356" t="n">
        <v>329</v>
      </c>
      <c r="L35" s="356" t="n">
        <v>76</v>
      </c>
      <c r="M35" s="352">
        <f>'Working Schedules'!H81</f>
        <v/>
      </c>
      <c r="N35" s="352">
        <f>'Working Schedules'!I81</f>
        <v/>
      </c>
      <c r="O35" s="352">
        <f>'Working Schedules'!J81</f>
        <v/>
      </c>
      <c r="P35" s="352">
        <f>'Working Schedules'!K81</f>
        <v/>
      </c>
      <c r="Q35" s="352">
        <f>'Working Schedules'!L81</f>
        <v/>
      </c>
      <c r="R35" s="352">
        <f>'Working Schedules'!M81</f>
        <v/>
      </c>
      <c r="S35" s="352">
        <f>'Working Schedules'!N81</f>
        <v/>
      </c>
      <c r="T35" s="352">
        <f>'Working Schedules'!O81</f>
        <v/>
      </c>
    </row>
    <row r="36" ht="18" customHeight="1">
      <c r="B36" s="8" t="inlineStr">
        <is>
          <t>Goodwill</t>
        </is>
      </c>
      <c r="C36" s="343" t="n">
        <v>68</v>
      </c>
      <c r="D36" s="343" t="n">
        <v>36.1</v>
      </c>
      <c r="E36" s="356" t="n">
        <v>49.3</v>
      </c>
      <c r="F36" s="356" t="n">
        <v>21</v>
      </c>
      <c r="G36" s="356" t="n">
        <v>21</v>
      </c>
      <c r="H36" s="356" t="n">
        <v>21</v>
      </c>
      <c r="I36" s="356" t="n">
        <v>1</v>
      </c>
      <c r="J36" s="356" t="n">
        <v>1</v>
      </c>
      <c r="K36" s="356" t="n">
        <v>1</v>
      </c>
      <c r="L36" s="356" t="n">
        <v>55</v>
      </c>
      <c r="M36" s="352">
        <f>L36</f>
        <v/>
      </c>
      <c r="N36" s="352">
        <f>M36</f>
        <v/>
      </c>
      <c r="O36" s="352">
        <f>N36</f>
        <v/>
      </c>
      <c r="P36" s="352">
        <f>O36</f>
        <v/>
      </c>
      <c r="Q36" s="352">
        <f>P36</f>
        <v/>
      </c>
      <c r="R36" s="352">
        <f>Q36</f>
        <v/>
      </c>
      <c r="S36" s="352">
        <f>R36</f>
        <v/>
      </c>
      <c r="T36" s="352">
        <f>S36</f>
        <v/>
      </c>
    </row>
    <row r="37" ht="18" customHeight="1">
      <c r="B37" s="9" t="inlineStr">
        <is>
          <t>Total Fixed Assets</t>
        </is>
      </c>
      <c r="C37" s="348">
        <f>SUM(C32:C36)</f>
        <v/>
      </c>
      <c r="D37" s="348">
        <f>SUM(D32:D36)</f>
        <v/>
      </c>
      <c r="E37" s="348">
        <f>SUM(E32:E36)</f>
        <v/>
      </c>
      <c r="F37" s="348">
        <f>SUM(F32:F36)</f>
        <v/>
      </c>
      <c r="G37" s="348">
        <f>SUM(G32:G36)</f>
        <v/>
      </c>
      <c r="H37" s="348">
        <f>SUM(H32:H36)</f>
        <v/>
      </c>
      <c r="I37" s="348">
        <f>SUM(I32:I36)</f>
        <v/>
      </c>
      <c r="J37" s="348">
        <f>SUM(J32:J36)</f>
        <v/>
      </c>
      <c r="K37" s="348">
        <f>SUM(K32:K36)</f>
        <v/>
      </c>
      <c r="L37" s="348">
        <f>SUM(L32:L36)</f>
        <v/>
      </c>
      <c r="M37" s="348">
        <f>SUM(M32:M36)</f>
        <v/>
      </c>
      <c r="N37" s="348">
        <f>SUM(N32:N36)</f>
        <v/>
      </c>
      <c r="O37" s="348">
        <f>SUM(O32:O36)</f>
        <v/>
      </c>
      <c r="P37" s="348">
        <f>SUM(P32:P36)</f>
        <v/>
      </c>
      <c r="Q37" s="348">
        <f>SUM(Q32:Q36)</f>
        <v/>
      </c>
      <c r="R37" s="348">
        <f>SUM(R32:R36)</f>
        <v/>
      </c>
      <c r="S37" s="348">
        <f>SUM(S32:S36)</f>
        <v/>
      </c>
      <c r="T37" s="348">
        <f>SUM(T32:T36)</f>
        <v/>
      </c>
    </row>
    <row r="38" ht="18" customHeight="1">
      <c r="B38" s="8" t="inlineStr">
        <is>
          <t>Other Non Current Assets</t>
        </is>
      </c>
      <c r="C38" s="343" t="n">
        <v>1030.9</v>
      </c>
      <c r="D38" s="343" t="n">
        <v>1280.2</v>
      </c>
      <c r="E38" s="356" t="n">
        <v>1948.8</v>
      </c>
      <c r="F38" s="356" t="n">
        <v>1921</v>
      </c>
      <c r="G38" s="356" t="n">
        <v>1760.1</v>
      </c>
      <c r="H38" s="356" t="n">
        <v>1805.4</v>
      </c>
      <c r="I38" s="356" t="n">
        <v>1951.5</v>
      </c>
      <c r="J38" s="356" t="n">
        <v>2414.4</v>
      </c>
      <c r="K38" s="356" t="n">
        <v>2337.4</v>
      </c>
      <c r="L38" s="356" t="n">
        <v>1982.51</v>
      </c>
      <c r="M38" s="356" t="n">
        <v>2009.911400000001</v>
      </c>
      <c r="N38" s="356" t="n">
        <v>2009.911399999999</v>
      </c>
      <c r="O38" s="356" t="n">
        <v>2009.911399999999</v>
      </c>
      <c r="P38" s="356" t="n">
        <v>2009.911400000001</v>
      </c>
      <c r="Q38" s="356" t="n">
        <v>2009.911400000001</v>
      </c>
      <c r="R38" s="356" t="n">
        <v>2009.911400000001</v>
      </c>
      <c r="S38" s="356" t="n">
        <v>2009.911400000001</v>
      </c>
      <c r="T38" s="356" t="n">
        <v>2009.911400000001</v>
      </c>
    </row>
    <row r="39" ht="18" customHeight="1">
      <c r="B39" s="9" t="inlineStr">
        <is>
          <t>Total Non Current Assets</t>
        </is>
      </c>
      <c r="C39" s="348">
        <f>SUM(C37:C38)</f>
        <v/>
      </c>
      <c r="D39" s="348">
        <f>SUM(D37:D38)</f>
        <v/>
      </c>
      <c r="E39" s="348">
        <f>SUM(E37:E38)</f>
        <v/>
      </c>
      <c r="F39" s="348">
        <f>SUM(F37:F38)</f>
        <v/>
      </c>
      <c r="G39" s="348">
        <f>SUM(G37:G38)</f>
        <v/>
      </c>
      <c r="H39" s="348">
        <f>SUM(H37:H38)</f>
        <v/>
      </c>
      <c r="I39" s="348">
        <f>SUM(I37:I38)</f>
        <v/>
      </c>
      <c r="J39" s="348">
        <f>SUM(J37:J38)</f>
        <v/>
      </c>
      <c r="K39" s="348">
        <f>SUM(K37:K38)</f>
        <v/>
      </c>
      <c r="L39" s="348">
        <f>SUM(L37:L38)</f>
        <v/>
      </c>
      <c r="M39" s="348">
        <f>SUM(M37:M38)</f>
        <v/>
      </c>
      <c r="N39" s="348">
        <f>SUM(N37:N38)</f>
        <v/>
      </c>
      <c r="O39" s="348">
        <f>SUM(O37:O38)</f>
        <v/>
      </c>
      <c r="P39" s="348">
        <f>SUM(P37:P38)</f>
        <v/>
      </c>
      <c r="Q39" s="348">
        <f>SUM(Q37:Q38)</f>
        <v/>
      </c>
      <c r="R39" s="348">
        <f>SUM(R37:R38)</f>
        <v/>
      </c>
      <c r="S39" s="348">
        <f>SUM(S37:S38)</f>
        <v/>
      </c>
      <c r="T39" s="348">
        <f>SUM(T37:T38)</f>
        <v/>
      </c>
    </row>
    <row r="40" ht="19.95" customHeight="1">
      <c r="B40" s="9" t="n"/>
    </row>
    <row r="41" ht="19.95" customHeight="1">
      <c r="B41" s="30" t="inlineStr">
        <is>
          <t>Current Assets</t>
        </is>
      </c>
    </row>
    <row r="42" ht="19.95" customHeight="1">
      <c r="B42" s="8" t="inlineStr">
        <is>
          <t>Accounts Receivables</t>
        </is>
      </c>
      <c r="C42" s="343" t="n">
        <v>2953.4</v>
      </c>
      <c r="D42" s="343" t="n">
        <v>2711.2</v>
      </c>
      <c r="E42" s="356" t="n">
        <v>2542.5</v>
      </c>
      <c r="F42" s="356" t="n">
        <v>2283.5</v>
      </c>
      <c r="G42" s="356" t="n">
        <v>2187.2</v>
      </c>
      <c r="H42" s="356" t="n">
        <v>2373.6</v>
      </c>
      <c r="I42" s="356" t="n">
        <v>2434</v>
      </c>
      <c r="J42" s="356" t="n">
        <v>3056</v>
      </c>
      <c r="K42" s="356" t="n">
        <v>3410</v>
      </c>
      <c r="L42" s="356" t="n">
        <v>3609</v>
      </c>
      <c r="M42" s="352">
        <f>'Working Capital Schedule'!M9</f>
        <v/>
      </c>
      <c r="N42" s="352">
        <f>'Working Capital Schedule'!N9</f>
        <v/>
      </c>
      <c r="O42" s="352">
        <f>'Working Capital Schedule'!O9</f>
        <v/>
      </c>
      <c r="P42" s="352">
        <f>'Working Capital Schedule'!P9</f>
        <v/>
      </c>
      <c r="Q42" s="352">
        <f>'Working Capital Schedule'!Q9</f>
        <v/>
      </c>
      <c r="R42" s="352">
        <f>'Working Capital Schedule'!R9</f>
        <v/>
      </c>
      <c r="S42" s="352">
        <f>'Working Capital Schedule'!S9</f>
        <v/>
      </c>
      <c r="T42" s="352">
        <f>'Working Capital Schedule'!T9</f>
        <v/>
      </c>
    </row>
    <row r="43" ht="19.95" customHeight="1">
      <c r="B43" s="8" t="inlineStr">
        <is>
          <t>Inventories</t>
        </is>
      </c>
      <c r="C43" s="343" t="n">
        <v>1927.6</v>
      </c>
      <c r="D43" s="343" t="n">
        <v>1919.7</v>
      </c>
      <c r="E43" s="356" t="n">
        <v>1934.3</v>
      </c>
      <c r="F43" s="356" t="n">
        <v>1927.5</v>
      </c>
      <c r="G43" s="356" t="n">
        <v>2051.9</v>
      </c>
      <c r="H43" s="356" t="n">
        <v>2156.7</v>
      </c>
      <c r="I43" s="356" t="n">
        <v>2230</v>
      </c>
      <c r="J43" s="356" t="n">
        <v>2063</v>
      </c>
      <c r="K43" s="356" t="n">
        <v>2305</v>
      </c>
      <c r="L43" s="356" t="n">
        <v>2668</v>
      </c>
      <c r="M43" s="352">
        <f>'Working Capital Schedule'!M12</f>
        <v/>
      </c>
      <c r="N43" s="352">
        <f>'Working Capital Schedule'!N12</f>
        <v/>
      </c>
      <c r="O43" s="352">
        <f>'Working Capital Schedule'!O12</f>
        <v/>
      </c>
      <c r="P43" s="352">
        <f>'Working Capital Schedule'!P12</f>
        <v/>
      </c>
      <c r="Q43" s="352">
        <f>'Working Capital Schedule'!Q12</f>
        <v/>
      </c>
      <c r="R43" s="352">
        <f>'Working Capital Schedule'!R12</f>
        <v/>
      </c>
      <c r="S43" s="352">
        <f>'Working Capital Schedule'!S12</f>
        <v/>
      </c>
      <c r="T43" s="352">
        <f>'Working Capital Schedule'!T12</f>
        <v/>
      </c>
    </row>
    <row r="44" ht="19.95" customHeight="1">
      <c r="B44" s="8" t="inlineStr">
        <is>
          <t>Other Current Assets</t>
        </is>
      </c>
      <c r="C44" s="343" t="n">
        <v>780.8000000000002</v>
      </c>
      <c r="D44" s="343" t="n">
        <v>849.1999999999998</v>
      </c>
      <c r="E44" s="356" t="n">
        <v>504.0999999999995</v>
      </c>
      <c r="F44" s="356" t="n">
        <v>585.8000000000002</v>
      </c>
      <c r="G44" s="356" t="n">
        <v>480.0000000000005</v>
      </c>
      <c r="H44" s="356" t="n">
        <v>350.7000000000003</v>
      </c>
      <c r="I44" s="356" t="n">
        <v>431.5</v>
      </c>
      <c r="J44" s="356" t="n">
        <v>390</v>
      </c>
      <c r="K44" s="356" t="n">
        <v>584</v>
      </c>
      <c r="L44" s="356" t="n">
        <v>1152</v>
      </c>
      <c r="M44" s="352">
        <f>L44*(1+Assumptions!E27)</f>
        <v/>
      </c>
      <c r="N44" s="352">
        <f>M44*(1+Assumptions!F27)</f>
        <v/>
      </c>
      <c r="O44" s="352">
        <f>N44*(1+Assumptions!G27)</f>
        <v/>
      </c>
      <c r="P44" s="352">
        <f>O44*(1+Assumptions!H27)</f>
        <v/>
      </c>
      <c r="Q44" s="352">
        <f>P44*(1+Assumptions!I27)</f>
        <v/>
      </c>
      <c r="R44" s="352">
        <f>Q44*(1+Assumptions!J27)</f>
        <v/>
      </c>
      <c r="S44" s="352">
        <f>R44*(1+Assumptions!K27)</f>
        <v/>
      </c>
      <c r="T44" s="352">
        <f>S44*(1+Assumptions!L27)</f>
        <v/>
      </c>
    </row>
    <row r="45" ht="19.95" customHeight="1">
      <c r="B45" s="9" t="inlineStr">
        <is>
          <t>Cash Balance(Incl. Bank and Current Investments)</t>
        </is>
      </c>
      <c r="C45" s="343" t="n">
        <v>87.3</v>
      </c>
      <c r="D45" s="343" t="n">
        <v>256.1</v>
      </c>
      <c r="E45" s="356" t="n">
        <v>282.9</v>
      </c>
      <c r="F45" s="356" t="n">
        <v>73.5</v>
      </c>
      <c r="G45" s="356" t="n">
        <v>83.90000000000001</v>
      </c>
      <c r="H45" s="356" t="n">
        <v>282.4</v>
      </c>
      <c r="I45" s="356" t="n">
        <v>1139.1</v>
      </c>
      <c r="J45" s="356" t="n">
        <v>1868</v>
      </c>
      <c r="K45" s="356" t="n">
        <v>2903</v>
      </c>
      <c r="L45" s="356" t="n">
        <v>3134</v>
      </c>
      <c r="M45" s="352">
        <f>CS!M22</f>
        <v/>
      </c>
      <c r="N45" s="352">
        <f>CS!N22</f>
        <v/>
      </c>
      <c r="O45" s="352">
        <f>CS!O22</f>
        <v/>
      </c>
      <c r="P45" s="352">
        <f>CS!P22</f>
        <v/>
      </c>
      <c r="Q45" s="352">
        <f>CS!Q22</f>
        <v/>
      </c>
      <c r="R45" s="352">
        <f>CS!R22</f>
        <v/>
      </c>
      <c r="S45" s="352">
        <f>CS!S22</f>
        <v/>
      </c>
      <c r="T45" s="352">
        <f>CS!T22</f>
        <v/>
      </c>
    </row>
    <row r="46" ht="19.95" customHeight="1">
      <c r="B46" s="9" t="inlineStr">
        <is>
          <t>Total Current Assets</t>
        </is>
      </c>
      <c r="C46" s="348">
        <f>SUM(C42:C45)</f>
        <v/>
      </c>
      <c r="D46" s="348">
        <f>SUM(D42:D45)</f>
        <v/>
      </c>
      <c r="E46" s="348">
        <f>SUM(E42:E45)</f>
        <v/>
      </c>
      <c r="F46" s="348">
        <f>SUM(F42:F45)</f>
        <v/>
      </c>
      <c r="G46" s="348">
        <f>SUM(G42:G45)</f>
        <v/>
      </c>
      <c r="H46" s="348">
        <f>SUM(H42:H45)</f>
        <v/>
      </c>
      <c r="I46" s="348">
        <f>SUM(I42:I45)</f>
        <v/>
      </c>
      <c r="J46" s="348">
        <f>SUM(J42:J45)</f>
        <v/>
      </c>
      <c r="K46" s="348">
        <f>SUM(K42:K45)</f>
        <v/>
      </c>
      <c r="L46" s="348">
        <f>SUM(L42:L45)</f>
        <v/>
      </c>
      <c r="M46" s="348">
        <f>SUM(M42:M45)</f>
        <v/>
      </c>
      <c r="N46" s="348">
        <f>SUM(N42:N45)</f>
        <v/>
      </c>
      <c r="O46" s="348">
        <f>SUM(O42:O45)</f>
        <v/>
      </c>
      <c r="P46" s="348">
        <f>SUM(P42:P45)</f>
        <v/>
      </c>
      <c r="Q46" s="348">
        <f>SUM(Q42:Q45)</f>
        <v/>
      </c>
      <c r="R46" s="348">
        <f>SUM(R42:R45)</f>
        <v/>
      </c>
      <c r="S46" s="348">
        <f>SUM(S42:S45)</f>
        <v/>
      </c>
      <c r="T46" s="348">
        <f>SUM(T42:T45)</f>
        <v/>
      </c>
    </row>
    <row r="48" ht="19.95" customHeight="1">
      <c r="B48" s="30" t="inlineStr">
        <is>
          <t>Total Assets</t>
        </is>
      </c>
      <c r="C48" s="348">
        <f>C39+C46</f>
        <v/>
      </c>
      <c r="D48" s="348">
        <f>D39+D46</f>
        <v/>
      </c>
      <c r="E48" s="348">
        <f>E39+E46</f>
        <v/>
      </c>
      <c r="F48" s="348">
        <f>F39+F46</f>
        <v/>
      </c>
      <c r="G48" s="348">
        <f>G39+G46</f>
        <v/>
      </c>
      <c r="H48" s="348">
        <f>H39+H46</f>
        <v/>
      </c>
      <c r="I48" s="348">
        <f>I39+I46</f>
        <v/>
      </c>
      <c r="J48" s="348">
        <f>J39+J46</f>
        <v/>
      </c>
      <c r="K48" s="348">
        <f>K39+K46</f>
        <v/>
      </c>
      <c r="L48" s="348">
        <f>L39+L46</f>
        <v/>
      </c>
      <c r="M48" s="348">
        <f>M39+M46</f>
        <v/>
      </c>
      <c r="N48" s="348">
        <f>N39+N46</f>
        <v/>
      </c>
      <c r="O48" s="348">
        <f>O39+O46</f>
        <v/>
      </c>
      <c r="P48" s="348">
        <f>P39+P46</f>
        <v/>
      </c>
      <c r="Q48" s="348">
        <f>Q39+Q46</f>
        <v/>
      </c>
      <c r="R48" s="348">
        <f>R39+R46</f>
        <v/>
      </c>
      <c r="S48" s="348">
        <f>S39+S46</f>
        <v/>
      </c>
      <c r="T48" s="348">
        <f>T39+T46</f>
        <v/>
      </c>
    </row>
    <row r="51" ht="19.95" customHeight="1">
      <c r="B51" t="inlineStr">
        <is>
          <t>Test</t>
        </is>
      </c>
      <c r="C51" s="343">
        <f>C48-C27</f>
        <v/>
      </c>
      <c r="D51" s="343">
        <f>D48-D27</f>
        <v/>
      </c>
      <c r="E51" s="343">
        <f>E48-E27</f>
        <v/>
      </c>
      <c r="F51" s="343">
        <f>F48-F27</f>
        <v/>
      </c>
      <c r="G51" s="343">
        <f>G48-G27</f>
        <v/>
      </c>
      <c r="H51" s="343">
        <f>H48-H27</f>
        <v/>
      </c>
      <c r="I51" s="343">
        <f>I48-I27</f>
        <v/>
      </c>
      <c r="J51" s="343">
        <f>J48-J27</f>
        <v/>
      </c>
      <c r="K51" s="343">
        <f>K48-K27</f>
        <v/>
      </c>
      <c r="L51" s="343">
        <f>L48-L27</f>
        <v/>
      </c>
      <c r="M51" s="343">
        <f>M48-M27</f>
        <v/>
      </c>
      <c r="N51" s="343">
        <f>N48-N27</f>
        <v/>
      </c>
      <c r="O51" s="343">
        <f>O48-O27</f>
        <v/>
      </c>
      <c r="P51" s="343">
        <f>P48-P27</f>
        <v/>
      </c>
      <c r="Q51" s="343">
        <f>Q48-Q27</f>
        <v/>
      </c>
      <c r="R51" s="343">
        <f>R48-R27</f>
        <v/>
      </c>
      <c r="S51" s="343">
        <f>S48-S27</f>
        <v/>
      </c>
      <c r="T51" s="343">
        <f>T48-T27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T29"/>
  <sheetViews>
    <sheetView showGridLines="0" tabSelected="1" workbookViewId="0">
      <pane xSplit="2" ySplit="4" topLeftCell="D21" activePane="bottomRight" state="frozen"/>
      <selection pane="topRight" activeCell="C1" sqref="C1"/>
      <selection pane="bottomLeft" activeCell="A5" sqref="A5"/>
      <selection pane="bottomRight" activeCell="M14" sqref="M14"/>
    </sheetView>
  </sheetViews>
  <sheetFormatPr baseColWidth="8" defaultRowHeight="18" customHeight="1"/>
  <cols>
    <col width="2.77734375" customWidth="1" min="1" max="1"/>
    <col width="50.77734375" customWidth="1" min="2" max="2"/>
    <col width="10.77734375" customWidth="1" style="343" min="3" max="16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9.95" customHeight="1"/>
    <row r="2" ht="19.95" customHeight="1">
      <c r="B2" s="112" t="inlineStr">
        <is>
          <t>Cash Flow Statement</t>
        </is>
      </c>
    </row>
    <row r="3" ht="19.95" customHeight="1"/>
    <row r="4" ht="19.95" customHeight="1">
      <c r="B4" s="7" t="inlineStr">
        <is>
          <t>Particulars</t>
        </is>
      </c>
      <c r="C4" s="350" t="n">
        <v>2017</v>
      </c>
      <c r="D4" s="350">
        <f>C4+1</f>
        <v/>
      </c>
      <c r="E4" s="350">
        <f>D4+1</f>
        <v/>
      </c>
      <c r="F4" s="350">
        <f>E4+1</f>
        <v/>
      </c>
      <c r="G4" s="350">
        <f>F4+1</f>
        <v/>
      </c>
      <c r="H4" s="350">
        <f>G4+1</f>
        <v/>
      </c>
      <c r="I4" s="350">
        <f>H4+1</f>
        <v/>
      </c>
      <c r="J4" s="350">
        <f>I4+1</f>
        <v/>
      </c>
      <c r="K4" s="350">
        <f>J4+1</f>
        <v/>
      </c>
      <c r="L4" s="350">
        <f>K4+1</f>
        <v/>
      </c>
      <c r="M4" s="351">
        <f>L4+1</f>
        <v/>
      </c>
      <c r="N4" s="351">
        <f>M4+1</f>
        <v/>
      </c>
      <c r="O4" s="351">
        <f>N4+1</f>
        <v/>
      </c>
      <c r="P4" s="351">
        <f>O4+1</f>
        <v/>
      </c>
      <c r="Q4" s="351">
        <f>P4+1</f>
        <v/>
      </c>
      <c r="R4" s="351">
        <f>Q4+1</f>
        <v/>
      </c>
      <c r="S4" s="351">
        <f>R4+1</f>
        <v/>
      </c>
      <c r="T4" s="351">
        <f>S4+1</f>
        <v/>
      </c>
    </row>
    <row r="5" ht="4.95" customHeight="1"/>
    <row r="6" ht="18" customHeight="1">
      <c r="A6" t="inlineStr">
        <is>
          <t>x</t>
        </is>
      </c>
      <c r="B6" s="7" t="inlineStr">
        <is>
          <t>Net Profit Aafter Tax (PAT)</t>
        </is>
      </c>
      <c r="C6" s="364">
        <f>PL!C23</f>
        <v/>
      </c>
      <c r="D6" s="364">
        <f>PL!D23</f>
        <v/>
      </c>
      <c r="E6" s="364">
        <f>PL!E23</f>
        <v/>
      </c>
      <c r="F6" s="364">
        <f>PL!F23</f>
        <v/>
      </c>
      <c r="G6" s="364">
        <f>PL!G23</f>
        <v/>
      </c>
      <c r="H6" s="364">
        <f>PL!H23</f>
        <v/>
      </c>
      <c r="I6" s="364">
        <f>PL!I23</f>
        <v/>
      </c>
      <c r="J6" s="364">
        <f>PL!J23</f>
        <v/>
      </c>
      <c r="K6" s="364">
        <f>PL!K23</f>
        <v/>
      </c>
      <c r="L6" s="364">
        <f>PL!L23</f>
        <v/>
      </c>
      <c r="M6" s="364">
        <f>PL!M23</f>
        <v/>
      </c>
      <c r="N6" s="364">
        <f>PL!N23</f>
        <v/>
      </c>
      <c r="O6" s="364">
        <f>PL!O23</f>
        <v/>
      </c>
      <c r="P6" s="364">
        <f>PL!P23</f>
        <v/>
      </c>
      <c r="Q6" s="364">
        <f>PL!Q23</f>
        <v/>
      </c>
      <c r="R6" s="364">
        <f>PL!R23</f>
        <v/>
      </c>
      <c r="S6" s="364">
        <f>PL!S23</f>
        <v/>
      </c>
      <c r="T6" s="364">
        <f>PL!T23</f>
        <v/>
      </c>
    </row>
    <row r="7" ht="18" customHeight="1">
      <c r="B7" t="inlineStr">
        <is>
          <t>D&amp;A</t>
        </is>
      </c>
      <c r="C7" s="352">
        <f>-PL!C14</f>
        <v/>
      </c>
      <c r="D7" s="352">
        <f>-PL!D14</f>
        <v/>
      </c>
      <c r="E7" s="352">
        <f>-PL!E14</f>
        <v/>
      </c>
      <c r="F7" s="352">
        <f>-PL!F14</f>
        <v/>
      </c>
      <c r="G7" s="352">
        <f>-PL!G14</f>
        <v/>
      </c>
      <c r="H7" s="352">
        <f>-PL!H14</f>
        <v/>
      </c>
      <c r="I7" s="352">
        <f>-PL!I14</f>
        <v/>
      </c>
      <c r="J7" s="352">
        <f>-PL!J14</f>
        <v/>
      </c>
      <c r="K7" s="352">
        <f>-PL!K14</f>
        <v/>
      </c>
      <c r="L7" s="352">
        <f>-PL!L14</f>
        <v/>
      </c>
      <c r="M7" s="352">
        <f>-PL!M14</f>
        <v/>
      </c>
      <c r="N7" s="352">
        <f>-PL!N14</f>
        <v/>
      </c>
      <c r="O7" s="352">
        <f>-PL!O14</f>
        <v/>
      </c>
      <c r="P7" s="352">
        <f>-PL!P14</f>
        <v/>
      </c>
      <c r="Q7" s="352">
        <f>-PL!Q14</f>
        <v/>
      </c>
      <c r="R7" s="352">
        <f>-PL!R14</f>
        <v/>
      </c>
      <c r="S7" s="352">
        <f>-PL!S14</f>
        <v/>
      </c>
      <c r="T7" s="352">
        <f>-PL!T14</f>
        <v/>
      </c>
    </row>
    <row r="8" ht="18" customHeight="1">
      <c r="B8" s="210" t="inlineStr">
        <is>
          <t>+/- in other non cash items</t>
        </is>
      </c>
      <c r="C8" s="356" t="n">
        <v>227.2</v>
      </c>
      <c r="D8" s="356" t="n">
        <v>358.900000000002</v>
      </c>
      <c r="E8" s="356" t="n">
        <v>103.8999999999987</v>
      </c>
      <c r="F8" s="356" t="n">
        <v>3.000000000000853</v>
      </c>
      <c r="G8" s="356" t="n">
        <v>1752.2</v>
      </c>
      <c r="H8" s="356" t="n">
        <v>611.5000000000007</v>
      </c>
      <c r="I8" s="356" t="n">
        <v>-468.8000000000003</v>
      </c>
      <c r="J8" s="356" t="n">
        <v>-431.8999999999996</v>
      </c>
      <c r="K8" s="356" t="n">
        <v>94.59999999999991</v>
      </c>
      <c r="L8" s="356" t="n">
        <v>-37</v>
      </c>
      <c r="M8" s="343">
        <f>-PL!M19-PL!M18</f>
        <v/>
      </c>
      <c r="N8" s="343">
        <f>-PL!N19-PL!N18</f>
        <v/>
      </c>
      <c r="O8" s="343">
        <f>-PL!O19-PL!O18</f>
        <v/>
      </c>
      <c r="P8" s="343">
        <f>-PL!P19-PL!P18</f>
        <v/>
      </c>
      <c r="Q8" s="343">
        <f>-PL!Q19-PL!Q18</f>
        <v/>
      </c>
      <c r="R8" s="343">
        <f>-PL!R19-PL!R18</f>
        <v/>
      </c>
      <c r="S8" s="343">
        <f>-PL!S19-PL!S18</f>
        <v/>
      </c>
      <c r="T8" s="343">
        <f>-PL!T19-PL!T18</f>
        <v/>
      </c>
    </row>
    <row r="9" ht="18" customHeight="1">
      <c r="B9" s="272" t="inlineStr">
        <is>
          <t>+/- change in NWC</t>
        </is>
      </c>
      <c r="C9" s="365" t="n">
        <v>138</v>
      </c>
      <c r="D9" s="366">
        <f>-'Working Capital Schedule'!D21</f>
        <v/>
      </c>
      <c r="E9" s="366">
        <f>-'Working Capital Schedule'!E21</f>
        <v/>
      </c>
      <c r="F9" s="366">
        <f>-'Working Capital Schedule'!F21</f>
        <v/>
      </c>
      <c r="G9" s="366">
        <f>-'Working Capital Schedule'!G21</f>
        <v/>
      </c>
      <c r="H9" s="366">
        <f>-'Working Capital Schedule'!H21</f>
        <v/>
      </c>
      <c r="I9" s="366">
        <f>-'Working Capital Schedule'!I21</f>
        <v/>
      </c>
      <c r="J9" s="366">
        <f>-'Working Capital Schedule'!J21</f>
        <v/>
      </c>
      <c r="K9" s="366">
        <f>-'Working Capital Schedule'!K21</f>
        <v/>
      </c>
      <c r="L9" s="366">
        <f>-'Working Capital Schedule'!L21</f>
        <v/>
      </c>
      <c r="M9" s="366">
        <f>-'Working Capital Schedule'!M21</f>
        <v/>
      </c>
      <c r="N9" s="366">
        <f>-'Working Capital Schedule'!N21</f>
        <v/>
      </c>
      <c r="O9" s="366">
        <f>-'Working Capital Schedule'!O21</f>
        <v/>
      </c>
      <c r="P9" s="366">
        <f>-'Working Capital Schedule'!P21</f>
        <v/>
      </c>
      <c r="Q9" s="366">
        <f>-'Working Capital Schedule'!Q21</f>
        <v/>
      </c>
      <c r="R9" s="366">
        <f>-'Working Capital Schedule'!R21</f>
        <v/>
      </c>
      <c r="S9" s="366">
        <f>-'Working Capital Schedule'!S21</f>
        <v/>
      </c>
      <c r="T9" s="366">
        <f>-'Working Capital Schedule'!T21</f>
        <v/>
      </c>
    </row>
    <row r="10" ht="18" customHeight="1">
      <c r="A10" t="inlineStr">
        <is>
          <t>x</t>
        </is>
      </c>
      <c r="B10" s="7" t="inlineStr">
        <is>
          <t>Cash flow from Operating Activities</t>
        </is>
      </c>
      <c r="C10" s="348">
        <f>SUM(C6:C9)</f>
        <v/>
      </c>
      <c r="D10" s="348">
        <f>SUM(D6:D9)</f>
        <v/>
      </c>
      <c r="E10" s="348">
        <f>SUM(E6:E9)</f>
        <v/>
      </c>
      <c r="F10" s="348">
        <f>SUM(F6:F9)</f>
        <v/>
      </c>
      <c r="G10" s="348">
        <f>SUM(G6:G9)</f>
        <v/>
      </c>
      <c r="H10" s="348">
        <f>SUM(H6:H9)</f>
        <v/>
      </c>
      <c r="I10" s="348">
        <f>SUM(I6:I9)</f>
        <v/>
      </c>
      <c r="J10" s="348">
        <f>SUM(J6:J9)</f>
        <v/>
      </c>
      <c r="K10" s="348">
        <f>SUM(K6:K9)</f>
        <v/>
      </c>
      <c r="L10" s="348">
        <f>SUM(L6:L9)</f>
        <v/>
      </c>
      <c r="M10" s="348">
        <f>SUM(M6:M9)</f>
        <v/>
      </c>
      <c r="N10" s="348">
        <f>SUM(N6:N9)</f>
        <v/>
      </c>
      <c r="O10" s="348">
        <f>SUM(O6:O9)</f>
        <v/>
      </c>
      <c r="P10" s="348">
        <f>SUM(P6:P9)</f>
        <v/>
      </c>
      <c r="Q10" s="348">
        <f>SUM(Q6:Q9)</f>
        <v/>
      </c>
      <c r="R10" s="348">
        <f>SUM(R6:R9)</f>
        <v/>
      </c>
      <c r="S10" s="348">
        <f>SUM(S6:S9)</f>
        <v/>
      </c>
      <c r="T10" s="348">
        <f>SUM(T6:T9)</f>
        <v/>
      </c>
    </row>
    <row r="11" ht="18" customHeight="1">
      <c r="B11" t="inlineStr">
        <is>
          <t>Interest Received</t>
        </is>
      </c>
      <c r="C11" s="343" t="n">
        <v>19.7</v>
      </c>
      <c r="D11" s="343" t="n">
        <v>4.2</v>
      </c>
      <c r="E11" s="343" t="n">
        <v>6.4</v>
      </c>
      <c r="F11" s="343" t="n">
        <v>6.2</v>
      </c>
      <c r="G11" s="343" t="n">
        <v>11.1</v>
      </c>
      <c r="H11" s="343" t="n">
        <v>6.4</v>
      </c>
      <c r="I11" s="343" t="n">
        <v>20.4</v>
      </c>
      <c r="J11" s="343" t="n">
        <v>42</v>
      </c>
      <c r="K11" s="343" t="n">
        <v>36</v>
      </c>
      <c r="L11" s="343" t="n">
        <v>67</v>
      </c>
      <c r="M11" s="343">
        <f>M21*Assumptions!E9</f>
        <v/>
      </c>
      <c r="N11" s="343">
        <f>N21*Assumptions!F9</f>
        <v/>
      </c>
      <c r="O11" s="343">
        <f>O21*Assumptions!G9</f>
        <v/>
      </c>
      <c r="P11" s="343">
        <f>P21*Assumptions!H9</f>
        <v/>
      </c>
      <c r="Q11" s="343">
        <f>Q21*Assumptions!I9</f>
        <v/>
      </c>
      <c r="R11" s="343">
        <f>R21*Assumptions!J9</f>
        <v/>
      </c>
      <c r="S11" s="343">
        <f>S21*Assumptions!K9</f>
        <v/>
      </c>
      <c r="T11" s="343">
        <f>T21*Assumptions!L9</f>
        <v/>
      </c>
    </row>
    <row r="12" ht="18" customHeight="1">
      <c r="B12" t="inlineStr">
        <is>
          <t>Capex</t>
        </is>
      </c>
      <c r="C12" s="343" t="n">
        <v>-311</v>
      </c>
      <c r="D12" s="343" t="n">
        <v>-184.3</v>
      </c>
      <c r="E12" s="343" t="n">
        <v>-173</v>
      </c>
      <c r="F12" s="343" t="n">
        <v>-211.6</v>
      </c>
      <c r="G12" s="343" t="n">
        <v>-158.9</v>
      </c>
      <c r="H12" s="343" t="n">
        <v>-134</v>
      </c>
      <c r="I12" s="343" t="n">
        <v>-136.6</v>
      </c>
      <c r="J12" s="343" t="n">
        <v>-98</v>
      </c>
      <c r="K12" s="343" t="n">
        <v>-162</v>
      </c>
      <c r="L12" s="343" t="n">
        <v>-181</v>
      </c>
      <c r="M12" s="343">
        <f>-'Working Schedules'!H42</f>
        <v/>
      </c>
      <c r="N12" s="343">
        <f>-'Working Schedules'!I42</f>
        <v/>
      </c>
      <c r="O12" s="343">
        <f>-'Working Schedules'!J42</f>
        <v/>
      </c>
      <c r="P12" s="343">
        <f>-'Working Schedules'!K42</f>
        <v/>
      </c>
      <c r="Q12" s="343">
        <f>-'Working Schedules'!L42</f>
        <v/>
      </c>
      <c r="R12" s="343">
        <f>-'Working Schedules'!M42</f>
        <v/>
      </c>
      <c r="S12" s="343">
        <f>-'Working Schedules'!N42</f>
        <v/>
      </c>
      <c r="T12" s="343">
        <f>-'Working Schedules'!O42</f>
        <v/>
      </c>
    </row>
    <row r="13" ht="18" customHeight="1">
      <c r="B13" s="270" t="inlineStr">
        <is>
          <t>Others</t>
        </is>
      </c>
      <c r="C13" s="367" t="n">
        <v>64</v>
      </c>
      <c r="D13" s="367" t="n">
        <v>284</v>
      </c>
      <c r="E13" s="367" t="n">
        <v>128</v>
      </c>
      <c r="F13" s="367" t="n">
        <v>12</v>
      </c>
      <c r="G13" s="367" t="n">
        <v>35</v>
      </c>
      <c r="H13" s="367" t="n">
        <v>-176</v>
      </c>
      <c r="I13" s="367" t="n">
        <v>12</v>
      </c>
      <c r="J13" s="367" t="n">
        <v>-262</v>
      </c>
      <c r="K13" s="367" t="n">
        <v>-227</v>
      </c>
      <c r="L13" s="367" t="n">
        <v>75</v>
      </c>
      <c r="M13" s="367" t="n">
        <v>0</v>
      </c>
      <c r="N13" s="367" t="n">
        <v>0</v>
      </c>
      <c r="O13" s="367" t="n">
        <v>0</v>
      </c>
      <c r="P13" s="367" t="n">
        <v>0</v>
      </c>
      <c r="Q13" s="367" t="n">
        <v>0</v>
      </c>
      <c r="R13" s="367" t="n">
        <v>0</v>
      </c>
      <c r="S13" s="367" t="n">
        <v>0</v>
      </c>
      <c r="T13" s="367" t="n">
        <v>0</v>
      </c>
    </row>
    <row r="14" ht="18" customHeight="1">
      <c r="B14" s="7" t="inlineStr">
        <is>
          <t>Cash flow from investing activities</t>
        </is>
      </c>
      <c r="C14" s="348">
        <f>SUM(C11:C13)</f>
        <v/>
      </c>
      <c r="D14" s="348">
        <f>SUM(D11:D13)</f>
        <v/>
      </c>
      <c r="E14" s="348">
        <f>SUM(E11:E13)</f>
        <v/>
      </c>
      <c r="F14" s="348">
        <f>SUM(F11:F13)</f>
        <v/>
      </c>
      <c r="G14" s="348">
        <f>SUM(G11:G13)</f>
        <v/>
      </c>
      <c r="H14" s="348">
        <f>SUM(H11:H13)</f>
        <v/>
      </c>
      <c r="I14" s="348">
        <f>SUM(I11:I13)</f>
        <v/>
      </c>
      <c r="J14" s="348">
        <f>SUM(J11:J13)</f>
        <v/>
      </c>
      <c r="K14" s="348">
        <f>SUM(K11:K13)</f>
        <v/>
      </c>
      <c r="L14" s="348">
        <f>SUM(L11:L13)</f>
        <v/>
      </c>
      <c r="M14" s="348">
        <f>SUM(M11:M13)</f>
        <v/>
      </c>
      <c r="N14" s="348">
        <f>SUM(N11:N13)</f>
        <v/>
      </c>
      <c r="O14" s="348">
        <f>SUM(O11:O13)</f>
        <v/>
      </c>
      <c r="P14" s="348">
        <f>SUM(P11:P13)</f>
        <v/>
      </c>
      <c r="Q14" s="348">
        <f>SUM(Q11:Q13)</f>
        <v/>
      </c>
      <c r="R14" s="348">
        <f>SUM(R11:R13)</f>
        <v/>
      </c>
      <c r="S14" s="348">
        <f>SUM(S11:S13)</f>
        <v/>
      </c>
      <c r="T14" s="348">
        <f>SUM(T11:T13)</f>
        <v/>
      </c>
    </row>
    <row r="15" ht="18" customHeight="1">
      <c r="B15" t="inlineStr">
        <is>
          <t>Repayment Lease Liabilities</t>
        </is>
      </c>
      <c r="C15" s="343" t="n">
        <v>-8.6</v>
      </c>
      <c r="D15" s="343" t="n">
        <v>0</v>
      </c>
      <c r="E15" s="343" t="n">
        <v>0</v>
      </c>
      <c r="F15" s="343" t="n">
        <v>-64.5</v>
      </c>
      <c r="G15" s="343" t="n">
        <v>-80.7</v>
      </c>
      <c r="H15" s="343" t="n">
        <v>-100.2</v>
      </c>
      <c r="I15" s="343" t="n">
        <v>-124</v>
      </c>
      <c r="J15" s="343" t="n">
        <v>-126</v>
      </c>
      <c r="K15" s="343" t="n">
        <v>-137</v>
      </c>
      <c r="L15" s="343" t="n">
        <v>-144</v>
      </c>
      <c r="M15" s="343">
        <f>'Working Schedules'!H9</f>
        <v/>
      </c>
      <c r="N15" s="343">
        <f>'Working Schedules'!I9</f>
        <v/>
      </c>
      <c r="O15" s="343">
        <f>'Working Schedules'!J9</f>
        <v/>
      </c>
      <c r="P15" s="343">
        <f>'Working Schedules'!K9</f>
        <v/>
      </c>
      <c r="Q15" s="343">
        <f>'Working Schedules'!L9</f>
        <v/>
      </c>
      <c r="R15" s="343">
        <f>'Working Schedules'!M9</f>
        <v/>
      </c>
      <c r="S15" s="343">
        <f>'Working Schedules'!N9</f>
        <v/>
      </c>
      <c r="T15" s="343">
        <f>'Working Schedules'!O9</f>
        <v/>
      </c>
    </row>
    <row r="16" ht="18" customHeight="1">
      <c r="B16" t="inlineStr">
        <is>
          <t>Interest Paid</t>
        </is>
      </c>
      <c r="C16" s="343" t="n">
        <v>-375.2</v>
      </c>
      <c r="D16" s="343" t="n">
        <v>-252.8</v>
      </c>
      <c r="E16" s="343" t="n">
        <v>-229.3</v>
      </c>
      <c r="F16" s="343" t="n">
        <v>-181.1</v>
      </c>
      <c r="G16" s="343" t="n">
        <v>-142</v>
      </c>
      <c r="H16" s="343" t="n">
        <v>-50.1</v>
      </c>
      <c r="I16" s="343" t="n">
        <v>-36.3</v>
      </c>
      <c r="J16" s="343" t="n">
        <v>-21</v>
      </c>
      <c r="K16" s="343" t="n">
        <v>-40</v>
      </c>
      <c r="L16" s="343" t="n">
        <v>-37</v>
      </c>
      <c r="M16" s="343">
        <f>PL!M18</f>
        <v/>
      </c>
      <c r="N16" s="343">
        <f>PL!N18</f>
        <v/>
      </c>
      <c r="O16" s="343">
        <f>PL!O18</f>
        <v/>
      </c>
      <c r="P16" s="343">
        <f>PL!P18</f>
        <v/>
      </c>
      <c r="Q16" s="343">
        <f>PL!Q18</f>
        <v/>
      </c>
      <c r="R16" s="343">
        <f>PL!R18</f>
        <v/>
      </c>
      <c r="S16" s="343">
        <f>PL!S18</f>
        <v/>
      </c>
      <c r="T16" s="343">
        <f>PL!T18</f>
        <v/>
      </c>
    </row>
    <row r="17" ht="18" customHeight="1">
      <c r="B17" t="inlineStr">
        <is>
          <t>Dividend Paid</t>
        </is>
      </c>
      <c r="C17" s="343" t="n">
        <v>0</v>
      </c>
      <c r="D17" s="343" t="n">
        <v>0</v>
      </c>
      <c r="E17" s="343" t="n">
        <v>0</v>
      </c>
      <c r="F17" s="343" t="n">
        <v>0</v>
      </c>
      <c r="G17" s="343" t="n">
        <v>0</v>
      </c>
      <c r="H17" s="343" t="n">
        <v>0</v>
      </c>
      <c r="I17" s="343" t="n">
        <v>0</v>
      </c>
      <c r="J17" s="343" t="n">
        <v>-284</v>
      </c>
      <c r="K17" s="343" t="n">
        <v>-355</v>
      </c>
      <c r="L17" s="343" t="n">
        <v>-1263</v>
      </c>
      <c r="M17" s="343">
        <f>-Assumptions!E11*PL!M23</f>
        <v/>
      </c>
      <c r="N17" s="343">
        <f>-Assumptions!F11*PL!N23</f>
        <v/>
      </c>
      <c r="O17" s="343">
        <f>-Assumptions!G11*PL!O23</f>
        <v/>
      </c>
      <c r="P17" s="343">
        <f>-Assumptions!H11*PL!P23</f>
        <v/>
      </c>
      <c r="Q17" s="343">
        <f>-Assumptions!I11*PL!Q23</f>
        <v/>
      </c>
      <c r="R17" s="343">
        <f>-Assumptions!J11*PL!R23</f>
        <v/>
      </c>
      <c r="S17" s="343">
        <f>-Assumptions!K11*PL!S23</f>
        <v/>
      </c>
      <c r="T17" s="343">
        <f>-Assumptions!L11*PL!T23</f>
        <v/>
      </c>
    </row>
    <row r="18" ht="18" customHeight="1">
      <c r="B18" s="270" t="inlineStr">
        <is>
          <t>Others</t>
        </is>
      </c>
      <c r="C18" s="367" t="n">
        <v>-86.40000000000001</v>
      </c>
      <c r="D18" s="367" t="n">
        <v>-607.4</v>
      </c>
      <c r="E18" s="367" t="n">
        <v>-653.6000000000003</v>
      </c>
      <c r="F18" s="367" t="n">
        <v>-553.6</v>
      </c>
      <c r="G18" s="367" t="n">
        <v>-1471.800000000001</v>
      </c>
      <c r="H18" s="367" t="n">
        <v>-324.9</v>
      </c>
      <c r="I18" s="367" t="n">
        <v>505.9</v>
      </c>
      <c r="J18" s="367" t="n">
        <v>359.9</v>
      </c>
      <c r="K18" s="367" t="n">
        <v>-27</v>
      </c>
      <c r="L18" s="367" t="n">
        <v>255</v>
      </c>
      <c r="M18" s="367" t="n">
        <v>0</v>
      </c>
      <c r="N18" s="367" t="n">
        <v>0</v>
      </c>
      <c r="O18" s="367" t="n">
        <v>0</v>
      </c>
      <c r="P18" s="367" t="n">
        <v>0</v>
      </c>
      <c r="Q18" s="367" t="n">
        <v>0</v>
      </c>
      <c r="R18" s="367" t="n">
        <v>0</v>
      </c>
      <c r="S18" s="367" t="n">
        <v>0</v>
      </c>
      <c r="T18" s="367" t="n">
        <v>0</v>
      </c>
    </row>
    <row r="19" ht="18" customHeight="1">
      <c r="B19" s="7" t="inlineStr">
        <is>
          <t>Cash flow from Financing activities</t>
        </is>
      </c>
      <c r="C19" s="348">
        <f>SUM(C15:C18)</f>
        <v/>
      </c>
      <c r="D19" s="348">
        <f>SUM(D15:D18)</f>
        <v/>
      </c>
      <c r="E19" s="348">
        <f>SUM(E15:E18)</f>
        <v/>
      </c>
      <c r="F19" s="348">
        <f>SUM(F15:F18)</f>
        <v/>
      </c>
      <c r="G19" s="348">
        <f>SUM(G15:G18)</f>
        <v/>
      </c>
      <c r="H19" s="348">
        <f>SUM(H15:H18)</f>
        <v/>
      </c>
      <c r="I19" s="348">
        <f>SUM(I15:I18)</f>
        <v/>
      </c>
      <c r="J19" s="348">
        <f>SUM(J15:J18)</f>
        <v/>
      </c>
      <c r="K19" s="348">
        <f>SUM(K15:K18)</f>
        <v/>
      </c>
      <c r="L19" s="348">
        <f>SUM(L15:L18)</f>
        <v/>
      </c>
      <c r="M19" s="348">
        <f>SUM(M15:M18)</f>
        <v/>
      </c>
      <c r="N19" s="348">
        <f>SUM(N15:N18)</f>
        <v/>
      </c>
      <c r="O19" s="348">
        <f>SUM(O15:O18)</f>
        <v/>
      </c>
      <c r="P19" s="348">
        <f>SUM(P15:P18)</f>
        <v/>
      </c>
      <c r="Q19" s="348">
        <f>SUM(Q15:Q18)</f>
        <v/>
      </c>
      <c r="R19" s="348">
        <f>SUM(R15:R18)</f>
        <v/>
      </c>
      <c r="S19" s="348">
        <f>SUM(S15:S18)</f>
        <v/>
      </c>
      <c r="T19" s="348">
        <f>SUM(T15:T18)</f>
        <v/>
      </c>
    </row>
    <row r="20" ht="18" customHeight="1">
      <c r="A20" t="inlineStr">
        <is>
          <t>x</t>
        </is>
      </c>
      <c r="B20" s="7" t="inlineStr">
        <is>
          <t>Net change in Cash</t>
        </is>
      </c>
      <c r="C20" s="348">
        <f>C10+C14+C19</f>
        <v/>
      </c>
      <c r="D20" s="348">
        <f>D10+D14+D19</f>
        <v/>
      </c>
      <c r="E20" s="348">
        <f>E10+E14+E19</f>
        <v/>
      </c>
      <c r="F20" s="348">
        <f>F10+F14+F19</f>
        <v/>
      </c>
      <c r="G20" s="348">
        <f>G10+G14+G19</f>
        <v/>
      </c>
      <c r="H20" s="348">
        <f>H10+H14+H19</f>
        <v/>
      </c>
      <c r="I20" s="348">
        <f>I10+I14+I19</f>
        <v/>
      </c>
      <c r="J20" s="348">
        <f>J10+J14+J19</f>
        <v/>
      </c>
      <c r="K20" s="348">
        <f>K10+K14+K19</f>
        <v/>
      </c>
      <c r="L20" s="348">
        <f>L10+L14+L19</f>
        <v/>
      </c>
      <c r="M20" s="348">
        <f>M10+M14+M19</f>
        <v/>
      </c>
      <c r="N20" s="348">
        <f>N10+N14+N19</f>
        <v/>
      </c>
      <c r="O20" s="348">
        <f>O10+O14+O19</f>
        <v/>
      </c>
      <c r="P20" s="348">
        <f>P10+P14+P19</f>
        <v/>
      </c>
      <c r="Q20" s="348">
        <f>Q10+Q14+Q19</f>
        <v/>
      </c>
      <c r="R20" s="348">
        <f>R10+R14+R19</f>
        <v/>
      </c>
      <c r="S20" s="348">
        <f>S10+S14+S19</f>
        <v/>
      </c>
      <c r="T20" s="348">
        <f>T10+T14+T19</f>
        <v/>
      </c>
    </row>
    <row r="21" ht="18" customHeight="1">
      <c r="B21" s="270" t="inlineStr">
        <is>
          <t>Opening Cash Balance</t>
        </is>
      </c>
      <c r="C21" s="365" t="n">
        <v>138</v>
      </c>
      <c r="D21" s="366">
        <f>C22</f>
        <v/>
      </c>
      <c r="E21" s="366">
        <f>D22</f>
        <v/>
      </c>
      <c r="F21" s="366">
        <f>E22</f>
        <v/>
      </c>
      <c r="G21" s="366">
        <f>F22</f>
        <v/>
      </c>
      <c r="H21" s="366">
        <f>G22</f>
        <v/>
      </c>
      <c r="I21" s="366">
        <f>H22</f>
        <v/>
      </c>
      <c r="J21" s="366">
        <f>I22</f>
        <v/>
      </c>
      <c r="K21" s="366">
        <f>J22</f>
        <v/>
      </c>
      <c r="L21" s="366">
        <f>K22</f>
        <v/>
      </c>
      <c r="M21" s="366">
        <f>L22</f>
        <v/>
      </c>
      <c r="N21" s="366">
        <f>M22</f>
        <v/>
      </c>
      <c r="O21" s="366">
        <f>N22</f>
        <v/>
      </c>
      <c r="P21" s="366">
        <f>O22</f>
        <v/>
      </c>
      <c r="Q21" s="366">
        <f>P22</f>
        <v/>
      </c>
      <c r="R21" s="366">
        <f>Q22</f>
        <v/>
      </c>
      <c r="S21" s="366">
        <f>R22</f>
        <v/>
      </c>
      <c r="T21" s="366">
        <f>S22</f>
        <v/>
      </c>
    </row>
    <row r="22" ht="18" customHeight="1">
      <c r="A22" t="inlineStr">
        <is>
          <t>x</t>
        </is>
      </c>
      <c r="B22" s="7" t="inlineStr">
        <is>
          <t>Closing Cash Balance</t>
        </is>
      </c>
      <c r="C22" s="348">
        <f>C20+C21</f>
        <v/>
      </c>
      <c r="D22" s="348">
        <f>D20+D21</f>
        <v/>
      </c>
      <c r="E22" s="348">
        <f>E20+E21</f>
        <v/>
      </c>
      <c r="F22" s="348">
        <f>F20+F21</f>
        <v/>
      </c>
      <c r="G22" s="348">
        <f>G20+G21</f>
        <v/>
      </c>
      <c r="H22" s="348">
        <f>H20+H21</f>
        <v/>
      </c>
      <c r="I22" s="348">
        <f>I20+I21</f>
        <v/>
      </c>
      <c r="J22" s="348">
        <f>J20+J21</f>
        <v/>
      </c>
      <c r="K22" s="348">
        <f>K20+K21</f>
        <v/>
      </c>
      <c r="L22" s="348">
        <f>L20+L21</f>
        <v/>
      </c>
      <c r="M22" s="348">
        <f>M20+M21</f>
        <v/>
      </c>
      <c r="N22" s="348">
        <f>N20+N21</f>
        <v/>
      </c>
      <c r="O22" s="348">
        <f>O20+O21</f>
        <v/>
      </c>
      <c r="P22" s="348">
        <f>P20+P21</f>
        <v/>
      </c>
      <c r="Q22" s="348">
        <f>Q20+Q21</f>
        <v/>
      </c>
      <c r="R22" s="348">
        <f>R20+R21</f>
        <v/>
      </c>
      <c r="S22" s="348">
        <f>S20+S21</f>
        <v/>
      </c>
      <c r="T22" s="348">
        <f>T20+T21</f>
        <v/>
      </c>
    </row>
    <row r="28" ht="18" customHeight="1">
      <c r="B28" s="210" t="n"/>
    </row>
    <row r="29" ht="18" customHeight="1">
      <c r="B29" s="210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U117"/>
  <sheetViews>
    <sheetView showGridLines="0" topLeftCell="C1" zoomScale="87" zoomScaleNormal="100" workbookViewId="0">
      <selection activeCell="S68" sqref="S68"/>
    </sheetView>
  </sheetViews>
  <sheetFormatPr baseColWidth="8" defaultRowHeight="14.4"/>
  <cols>
    <col width="50.77734375" customWidth="1" min="2" max="2"/>
    <col width="10.21875" bestFit="1" customWidth="1" style="343" min="3" max="3"/>
    <col width="9.109375" bestFit="1" customWidth="1" style="343" min="4" max="7"/>
    <col width="8.88671875" customWidth="1" style="343" min="8" max="10"/>
    <col width="9.33203125" bestFit="1" customWidth="1" style="343" min="11" max="11"/>
    <col width="9.33203125" customWidth="1" min="12" max="12"/>
    <col width="9.33203125" bestFit="1" customWidth="1" min="13" max="13"/>
    <col width="9.33203125" customWidth="1" min="14" max="15"/>
    <col width="9.33203125" customWidth="1" min="15" max="15"/>
  </cols>
  <sheetData>
    <row r="2" ht="21" customHeight="1">
      <c r="B2" s="112" t="inlineStr">
        <is>
          <t>Working Schedules</t>
        </is>
      </c>
    </row>
    <row r="4" ht="21" customHeight="1">
      <c r="B4" s="195" t="inlineStr">
        <is>
          <t>Debt Schedule - Lease Liabilities</t>
        </is>
      </c>
      <c r="C4" s="144" t="n"/>
      <c r="D4" s="144" t="n"/>
      <c r="E4" s="144" t="n"/>
      <c r="F4" s="144" t="n"/>
      <c r="G4" s="144" t="n"/>
      <c r="H4" s="144" t="n"/>
      <c r="I4" s="144" t="n"/>
      <c r="J4" s="144" t="n"/>
      <c r="K4" s="145" t="n"/>
      <c r="L4" s="145" t="n"/>
      <c r="M4" s="145" t="n"/>
      <c r="N4" s="145" t="n"/>
      <c r="O4" s="145" t="n"/>
    </row>
    <row r="5">
      <c r="B5" s="146" t="inlineStr">
        <is>
          <t>Particulars</t>
        </is>
      </c>
      <c r="C5" s="350" t="n">
        <v>2022</v>
      </c>
      <c r="D5" s="350">
        <f>C5+1</f>
        <v/>
      </c>
      <c r="E5" s="350">
        <f>D5+1</f>
        <v/>
      </c>
      <c r="F5" s="350">
        <f>E5+1</f>
        <v/>
      </c>
      <c r="G5" s="350">
        <f>F5+1</f>
        <v/>
      </c>
      <c r="H5" s="351">
        <f>G5+1</f>
        <v/>
      </c>
      <c r="I5" s="351">
        <f>H5+1</f>
        <v/>
      </c>
      <c r="J5" s="351">
        <f>I5+1</f>
        <v/>
      </c>
      <c r="K5" s="368">
        <f>J5+1</f>
        <v/>
      </c>
      <c r="L5" s="368">
        <f>K5+1</f>
        <v/>
      </c>
      <c r="M5" s="368">
        <f>L5+1</f>
        <v/>
      </c>
      <c r="N5" s="368">
        <f>M5+1</f>
        <v/>
      </c>
      <c r="O5" s="368">
        <f>N5+1</f>
        <v/>
      </c>
    </row>
    <row r="6">
      <c r="B6" s="148" t="n"/>
      <c r="C6" s="369" t="n"/>
      <c r="D6" s="350" t="n"/>
      <c r="E6" s="350" t="n"/>
      <c r="F6" s="350" t="n"/>
      <c r="G6" s="350" t="n"/>
      <c r="H6" s="351" t="n"/>
      <c r="I6" s="351" t="n"/>
      <c r="J6" s="351" t="n"/>
      <c r="K6" s="368" t="n"/>
      <c r="L6" s="368" t="n"/>
      <c r="M6" s="368" t="n"/>
      <c r="N6" s="368" t="n"/>
      <c r="O6" s="368" t="n"/>
    </row>
    <row r="7">
      <c r="B7" s="148" t="inlineStr">
        <is>
          <t>Opening Lease Liability</t>
        </is>
      </c>
      <c r="C7" s="352">
        <f>BS!G17</f>
        <v/>
      </c>
      <c r="D7" s="352">
        <f>C10</f>
        <v/>
      </c>
      <c r="E7" s="352">
        <f>D10</f>
        <v/>
      </c>
      <c r="F7" s="352">
        <f>E10</f>
        <v/>
      </c>
      <c r="G7" s="352">
        <f>F10</f>
        <v/>
      </c>
      <c r="H7" s="352">
        <f>G10</f>
        <v/>
      </c>
      <c r="I7" s="352">
        <f>H10</f>
        <v/>
      </c>
      <c r="J7" s="352">
        <f>I10</f>
        <v/>
      </c>
      <c r="K7" s="370">
        <f>J10</f>
        <v/>
      </c>
      <c r="L7" s="370">
        <f>K10</f>
        <v/>
      </c>
      <c r="M7" s="370">
        <f>L10</f>
        <v/>
      </c>
      <c r="N7" s="370">
        <f>M10</f>
        <v/>
      </c>
      <c r="O7" s="370">
        <f>N10</f>
        <v/>
      </c>
    </row>
    <row r="8">
      <c r="B8" s="148" t="inlineStr">
        <is>
          <t>Additions: New Leases</t>
        </is>
      </c>
      <c r="C8" s="356" t="n">
        <v>206.1</v>
      </c>
      <c r="D8" s="356" t="n">
        <v>42.5</v>
      </c>
      <c r="E8" s="356">
        <f>E52</f>
        <v/>
      </c>
      <c r="F8" s="356" t="n">
        <v>377</v>
      </c>
      <c r="G8" s="356" t="n">
        <v>71.59999999999999</v>
      </c>
      <c r="H8" s="352">
        <f>H52</f>
        <v/>
      </c>
      <c r="I8" s="352">
        <f>I52</f>
        <v/>
      </c>
      <c r="J8" s="352">
        <f>J52</f>
        <v/>
      </c>
      <c r="K8" s="370">
        <f>K52</f>
        <v/>
      </c>
      <c r="L8" s="370">
        <f>L52</f>
        <v/>
      </c>
      <c r="M8" s="370">
        <f>M52</f>
        <v/>
      </c>
      <c r="N8" s="370">
        <f>N52</f>
        <v/>
      </c>
      <c r="O8" s="370">
        <f>O52</f>
        <v/>
      </c>
    </row>
    <row r="9">
      <c r="B9" s="148" t="inlineStr">
        <is>
          <t>Less: Principal Repayment</t>
        </is>
      </c>
      <c r="C9" s="356" t="n">
        <v>-100</v>
      </c>
      <c r="D9" s="356" t="n">
        <v>-124</v>
      </c>
      <c r="E9" s="356" t="n">
        <v>-126</v>
      </c>
      <c r="F9" s="356" t="n">
        <v>-137</v>
      </c>
      <c r="G9" s="356" t="n">
        <v>-144</v>
      </c>
      <c r="H9" s="343">
        <f>(1+Assumptions!E18)*G9</f>
        <v/>
      </c>
      <c r="I9" s="343">
        <f>(1+Assumptions!F18)*H9</f>
        <v/>
      </c>
      <c r="J9" s="343">
        <f>(1+Assumptions!G18)*I9</f>
        <v/>
      </c>
      <c r="K9" s="371">
        <f>(1+Assumptions!H18)*J9</f>
        <v/>
      </c>
      <c r="L9" s="371">
        <f>(1+Assumptions!I18)*K9</f>
        <v/>
      </c>
      <c r="M9" s="371">
        <f>(1+Assumptions!J18)*L9</f>
        <v/>
      </c>
      <c r="N9" s="371">
        <f>(1+Assumptions!K18)*M9</f>
        <v/>
      </c>
      <c r="O9" s="371">
        <f>(1+Assumptions!L18)*N9</f>
        <v/>
      </c>
      <c r="P9" s="343" t="n"/>
    </row>
    <row r="10">
      <c r="B10" s="146" t="inlineStr">
        <is>
          <t>Closing Lease Liability</t>
        </is>
      </c>
      <c r="C10" s="348">
        <f>SUM(C7:C9)</f>
        <v/>
      </c>
      <c r="D10" s="348">
        <f>SUM(D7:D9)</f>
        <v/>
      </c>
      <c r="E10" s="348">
        <f>SUM(E7:E9)</f>
        <v/>
      </c>
      <c r="F10" s="348">
        <f>SUM(F7:F9)</f>
        <v/>
      </c>
      <c r="G10" s="348">
        <f>SUM(G7:G9)</f>
        <v/>
      </c>
      <c r="H10" s="348">
        <f>SUM(H7:H9)</f>
        <v/>
      </c>
      <c r="I10" s="348">
        <f>SUM(I7:I9)</f>
        <v/>
      </c>
      <c r="J10" s="348">
        <f>SUM(J7:J9)</f>
        <v/>
      </c>
      <c r="K10" s="372">
        <f>SUM(K7:K9)</f>
        <v/>
      </c>
      <c r="L10" s="372">
        <f>SUM(L7:L9)</f>
        <v/>
      </c>
      <c r="M10" s="372">
        <f>SUM(M7:M9)</f>
        <v/>
      </c>
      <c r="N10" s="372">
        <f>SUM(N7:N9)</f>
        <v/>
      </c>
      <c r="O10" s="372">
        <f>SUM(O7:O9)</f>
        <v/>
      </c>
    </row>
    <row r="11">
      <c r="B11" s="146" t="inlineStr">
        <is>
          <t>Interest</t>
        </is>
      </c>
      <c r="C11" s="135" t="n">
        <v>11.9</v>
      </c>
      <c r="D11" s="135" t="n">
        <v>16</v>
      </c>
      <c r="E11" s="135" t="n">
        <v>21</v>
      </c>
      <c r="F11" s="135" t="n">
        <v>40</v>
      </c>
      <c r="G11" s="135" t="n">
        <v>37</v>
      </c>
      <c r="H11" s="136">
        <f>AVERAGE(H10,H7)*Assumptions!E19</f>
        <v/>
      </c>
      <c r="I11" s="136">
        <f>AVERAGE(I10,I7)*Assumptions!F19</f>
        <v/>
      </c>
      <c r="J11" s="136">
        <f>AVERAGE(J10,J7)*Assumptions!G19</f>
        <v/>
      </c>
      <c r="K11" s="152">
        <f>AVERAGE(K10,K7)*Assumptions!H19</f>
        <v/>
      </c>
      <c r="L11" s="152">
        <f>AVERAGE(L10,L7)*Assumptions!I19</f>
        <v/>
      </c>
      <c r="M11" s="152">
        <f>AVERAGE(M10,M7)*Assumptions!J19</f>
        <v/>
      </c>
      <c r="N11" s="152">
        <f>AVERAGE(N10,N7)*Assumptions!K19</f>
        <v/>
      </c>
      <c r="O11" s="152">
        <f>AVERAGE(O10,O7)*Assumptions!L19</f>
        <v/>
      </c>
    </row>
    <row r="12">
      <c r="B12" s="146" t="n"/>
      <c r="C12" s="135" t="n"/>
      <c r="D12" s="135" t="n"/>
      <c r="E12" s="135" t="n"/>
      <c r="F12" s="135" t="n"/>
      <c r="G12" s="373" t="n"/>
      <c r="H12" s="136" t="n"/>
      <c r="I12" s="136" t="n"/>
      <c r="J12" s="136" t="n"/>
      <c r="K12" s="152" t="n"/>
      <c r="L12" s="152" t="n"/>
      <c r="M12" s="152" t="n"/>
      <c r="N12" s="152" t="n"/>
      <c r="O12" s="152" t="n"/>
    </row>
    <row r="13">
      <c r="B13" s="148" t="n"/>
      <c r="K13" s="153" t="n"/>
      <c r="L13" s="153" t="n"/>
      <c r="M13" s="153" t="n"/>
      <c r="N13" s="153" t="n"/>
      <c r="O13" s="153" t="n"/>
    </row>
    <row r="14" ht="21" customHeight="1">
      <c r="B14" s="196" t="inlineStr">
        <is>
          <t>Debt Schedule - Working Capital loans/Others</t>
        </is>
      </c>
      <c r="K14" s="153" t="n"/>
      <c r="L14" s="153" t="n"/>
      <c r="M14" s="153" t="n"/>
      <c r="N14" s="153" t="n"/>
      <c r="O14" s="153" t="n"/>
    </row>
    <row r="15">
      <c r="B15" s="146" t="inlineStr">
        <is>
          <t>Particulars</t>
        </is>
      </c>
      <c r="C15" s="350" t="n">
        <v>2022</v>
      </c>
      <c r="D15" s="350">
        <f>C15+1</f>
        <v/>
      </c>
      <c r="E15" s="350">
        <f>D15+1</f>
        <v/>
      </c>
      <c r="F15" s="350">
        <f>E15+1</f>
        <v/>
      </c>
      <c r="G15" s="350">
        <f>F15+1</f>
        <v/>
      </c>
      <c r="H15" s="351">
        <f>G15+1</f>
        <v/>
      </c>
      <c r="I15" s="351">
        <f>H15+1</f>
        <v/>
      </c>
      <c r="J15" s="351">
        <f>I15+1</f>
        <v/>
      </c>
      <c r="K15" s="368">
        <f>J15+1</f>
        <v/>
      </c>
      <c r="L15" s="368">
        <f>K15+1</f>
        <v/>
      </c>
      <c r="M15" s="368">
        <f>L15+1</f>
        <v/>
      </c>
      <c r="N15" s="368">
        <f>M15+1</f>
        <v/>
      </c>
      <c r="O15" s="368">
        <f>N15+1</f>
        <v/>
      </c>
    </row>
    <row r="16">
      <c r="B16" s="146" t="n"/>
      <c r="C16" s="350" t="n"/>
      <c r="D16" s="350" t="n"/>
      <c r="E16" s="350" t="n"/>
      <c r="F16" s="350" t="n"/>
      <c r="G16" s="350" t="n"/>
      <c r="H16" s="351" t="n"/>
      <c r="I16" s="351" t="n"/>
      <c r="J16" s="351" t="n"/>
      <c r="K16" s="368" t="n"/>
      <c r="L16" s="368" t="n"/>
      <c r="M16" s="368" t="n"/>
      <c r="N16" s="368" t="n"/>
      <c r="O16" s="368" t="n"/>
    </row>
    <row r="17">
      <c r="B17" s="148" t="inlineStr">
        <is>
          <t>Opening</t>
        </is>
      </c>
      <c r="C17" s="374" t="n">
        <v>876</v>
      </c>
      <c r="D17" s="375">
        <f>C19</f>
        <v/>
      </c>
      <c r="E17" s="375">
        <f>D19</f>
        <v/>
      </c>
      <c r="F17" s="375">
        <f>E19</f>
        <v/>
      </c>
      <c r="G17" s="375">
        <f>F19</f>
        <v/>
      </c>
      <c r="H17" s="375">
        <f>G19</f>
        <v/>
      </c>
      <c r="I17" s="375">
        <f>H19</f>
        <v/>
      </c>
      <c r="J17" s="375">
        <f>I19</f>
        <v/>
      </c>
      <c r="K17" s="376">
        <f>J19</f>
        <v/>
      </c>
      <c r="L17" s="376">
        <f>K19</f>
        <v/>
      </c>
      <c r="M17" s="376">
        <f>L19</f>
        <v/>
      </c>
      <c r="N17" s="376">
        <f>M19</f>
        <v/>
      </c>
      <c r="O17" s="376">
        <f>N19</f>
        <v/>
      </c>
    </row>
    <row r="18">
      <c r="B18" s="148" t="inlineStr">
        <is>
          <t>(Repayment)/Net proceeds</t>
        </is>
      </c>
      <c r="C18" s="374" t="n">
        <v>-535</v>
      </c>
      <c r="D18" s="374" t="n">
        <v>-341</v>
      </c>
      <c r="E18" s="374" t="n">
        <v>25</v>
      </c>
      <c r="F18" s="374" t="n">
        <v>-25</v>
      </c>
      <c r="G18" s="374" t="n">
        <v>0</v>
      </c>
      <c r="H18" s="377" t="n">
        <v>0</v>
      </c>
      <c r="I18" s="377" t="n">
        <v>0</v>
      </c>
      <c r="J18" s="377" t="n">
        <v>0</v>
      </c>
      <c r="K18" s="378" t="n">
        <v>0</v>
      </c>
      <c r="L18" s="378" t="n">
        <v>0</v>
      </c>
      <c r="M18" s="378" t="n">
        <v>0</v>
      </c>
      <c r="N18" s="378" t="n">
        <v>0</v>
      </c>
      <c r="O18" s="378" t="n">
        <v>0</v>
      </c>
    </row>
    <row r="19">
      <c r="B19" s="146" t="inlineStr">
        <is>
          <t>Closing</t>
        </is>
      </c>
      <c r="C19" s="379">
        <f>SUM(C17:C18)</f>
        <v/>
      </c>
      <c r="D19" s="379">
        <f>SUM(D17:D18)</f>
        <v/>
      </c>
      <c r="E19" s="379">
        <f>SUM(E17:E18)</f>
        <v/>
      </c>
      <c r="F19" s="379">
        <f>SUM(F17:F18)</f>
        <v/>
      </c>
      <c r="G19" s="379">
        <f>SUM(G17:G18)</f>
        <v/>
      </c>
      <c r="H19" s="379">
        <f>SUM(H17:H18)</f>
        <v/>
      </c>
      <c r="I19" s="379">
        <f>SUM(I17:I18)</f>
        <v/>
      </c>
      <c r="J19" s="379">
        <f>SUM(J17:J18)</f>
        <v/>
      </c>
      <c r="K19" s="380">
        <f>SUM(K17:K18)</f>
        <v/>
      </c>
      <c r="L19" s="380">
        <f>SUM(L17:L18)</f>
        <v/>
      </c>
      <c r="M19" s="380">
        <f>SUM(M17:M18)</f>
        <v/>
      </c>
      <c r="N19" s="380">
        <f>SUM(N17:N18)</f>
        <v/>
      </c>
      <c r="O19" s="380">
        <f>SUM(O17:O18)</f>
        <v/>
      </c>
    </row>
    <row r="20">
      <c r="B20" s="146" t="inlineStr">
        <is>
          <t>Interest</t>
        </is>
      </c>
      <c r="C20" s="381" t="n">
        <v>38</v>
      </c>
      <c r="D20" s="381" t="n">
        <v>20.3</v>
      </c>
      <c r="E20" s="381" t="n">
        <v>0</v>
      </c>
      <c r="F20" s="381" t="n">
        <v>0</v>
      </c>
      <c r="G20" s="381" t="n">
        <v>0</v>
      </c>
      <c r="H20" s="381" t="n">
        <v>0</v>
      </c>
      <c r="I20" s="381" t="n">
        <v>0</v>
      </c>
      <c r="J20" s="381" t="n">
        <v>0</v>
      </c>
      <c r="K20" s="382" t="n">
        <v>0</v>
      </c>
      <c r="L20" s="382" t="n">
        <v>0</v>
      </c>
      <c r="M20" s="382" t="n">
        <v>0</v>
      </c>
      <c r="N20" s="382" t="n">
        <v>0</v>
      </c>
      <c r="O20" s="382" t="n">
        <v>0</v>
      </c>
    </row>
    <row r="21">
      <c r="B21" s="148" t="n"/>
      <c r="C21" s="377" t="n"/>
      <c r="D21" s="377" t="n"/>
      <c r="E21" s="377" t="n"/>
      <c r="F21" s="377" t="n"/>
      <c r="G21" s="377" t="n"/>
      <c r="H21" s="377" t="n"/>
      <c r="I21" s="377" t="n"/>
      <c r="J21" s="377" t="n"/>
      <c r="K21" s="378" t="n"/>
      <c r="L21" s="378" t="n"/>
      <c r="M21" s="378" t="n"/>
      <c r="N21" s="378" t="n"/>
      <c r="O21" s="378" t="n"/>
    </row>
    <row r="22">
      <c r="B22" s="158" t="inlineStr">
        <is>
          <t>Total Debt</t>
        </is>
      </c>
      <c r="C22" s="383">
        <f>C19+C10</f>
        <v/>
      </c>
      <c r="D22" s="383">
        <f>D19+D10</f>
        <v/>
      </c>
      <c r="E22" s="383">
        <f>E19+E10</f>
        <v/>
      </c>
      <c r="F22" s="383">
        <f>F19+F10</f>
        <v/>
      </c>
      <c r="G22" s="383">
        <f>G19+G10</f>
        <v/>
      </c>
      <c r="H22" s="383">
        <f>H19+H10</f>
        <v/>
      </c>
      <c r="I22" s="383">
        <f>I19+I10</f>
        <v/>
      </c>
      <c r="J22" s="383">
        <f>J19+J10</f>
        <v/>
      </c>
      <c r="K22" s="384">
        <f>K19+K10</f>
        <v/>
      </c>
      <c r="L22" s="384">
        <f>L19+L10</f>
        <v/>
      </c>
      <c r="M22" s="384">
        <f>M19+M10</f>
        <v/>
      </c>
      <c r="N22" s="384">
        <f>N19+N10</f>
        <v/>
      </c>
      <c r="O22" s="384">
        <f>O19+O10</f>
        <v/>
      </c>
    </row>
    <row r="23">
      <c r="B23" s="7" t="n"/>
      <c r="C23" s="379" t="n"/>
      <c r="D23" s="379" t="n"/>
      <c r="E23" s="379" t="n"/>
      <c r="F23" s="379" t="n"/>
      <c r="G23" s="379" t="n"/>
      <c r="H23" s="379" t="n"/>
      <c r="I23" s="379" t="n"/>
      <c r="J23" s="379" t="n"/>
      <c r="K23" s="379" t="n"/>
      <c r="L23" s="379" t="n"/>
      <c r="M23" s="379" t="n"/>
      <c r="N23" s="379" t="n"/>
      <c r="O23" s="379" t="n"/>
    </row>
    <row r="24">
      <c r="B24" s="7" t="n"/>
      <c r="C24" s="379" t="n"/>
      <c r="D24" s="379" t="n"/>
      <c r="E24" s="379" t="n"/>
      <c r="F24" s="379" t="n"/>
      <c r="G24" s="379" t="n"/>
      <c r="H24" s="379" t="n"/>
      <c r="I24" s="379" t="n"/>
      <c r="J24" s="379" t="n"/>
      <c r="K24" s="379" t="n"/>
      <c r="L24" s="379" t="n"/>
      <c r="M24" s="379" t="n"/>
      <c r="N24" s="379" t="n"/>
      <c r="O24" s="379" t="n"/>
    </row>
    <row r="25">
      <c r="I25" s="379" t="n"/>
      <c r="J25" s="379" t="n"/>
      <c r="K25" s="379" t="n"/>
      <c r="L25" s="379" t="n"/>
      <c r="M25" s="379" t="n"/>
      <c r="N25" s="379" t="n"/>
      <c r="O25" s="379" t="n"/>
    </row>
    <row r="26">
      <c r="C26" s="377" t="n"/>
      <c r="D26" s="377" t="n"/>
      <c r="E26" s="377" t="n"/>
      <c r="F26" s="377" t="n"/>
      <c r="G26" s="377" t="n"/>
      <c r="H26" s="377" t="n"/>
      <c r="I26" s="377" t="n"/>
      <c r="J26" s="377" t="n"/>
      <c r="K26" s="377" t="n"/>
      <c r="L26" s="377" t="n"/>
      <c r="M26" s="377" t="n"/>
      <c r="N26" s="377" t="n"/>
      <c r="O26" s="377" t="n"/>
    </row>
    <row r="27" ht="21" customHeight="1">
      <c r="B27" s="195" t="inlineStr">
        <is>
          <t>Finance cost Schedule</t>
        </is>
      </c>
      <c r="C27" s="175" t="n"/>
      <c r="D27" s="175" t="n"/>
      <c r="E27" s="175" t="n"/>
      <c r="F27" s="175" t="n"/>
      <c r="G27" s="175" t="n"/>
      <c r="H27" s="175" t="n"/>
      <c r="I27" s="175" t="n"/>
      <c r="J27" s="175" t="n"/>
      <c r="K27" s="176" t="n"/>
      <c r="L27" s="176" t="n"/>
      <c r="M27" s="176" t="n"/>
      <c r="N27" s="176" t="n"/>
      <c r="O27" s="176" t="n"/>
    </row>
    <row r="28">
      <c r="B28" s="166" t="inlineStr">
        <is>
          <t>Particulars</t>
        </is>
      </c>
      <c r="C28" s="350" t="n">
        <v>2022</v>
      </c>
      <c r="D28" s="350">
        <f>C28+1</f>
        <v/>
      </c>
      <c r="E28" s="350">
        <f>D28+1</f>
        <v/>
      </c>
      <c r="F28" s="350">
        <f>E28+1</f>
        <v/>
      </c>
      <c r="G28" s="350">
        <f>F28+1</f>
        <v/>
      </c>
      <c r="H28" s="351">
        <f>G28+1</f>
        <v/>
      </c>
      <c r="I28" s="351">
        <f>H28+1</f>
        <v/>
      </c>
      <c r="J28" s="351">
        <f>I28+1</f>
        <v/>
      </c>
      <c r="K28" s="385">
        <f>J28+1</f>
        <v/>
      </c>
      <c r="L28" s="385">
        <f>K28+1</f>
        <v/>
      </c>
      <c r="M28" s="385">
        <f>L28+1</f>
        <v/>
      </c>
      <c r="N28" s="385">
        <f>M28+1</f>
        <v/>
      </c>
      <c r="O28" s="385">
        <f>N28+1</f>
        <v/>
      </c>
    </row>
    <row r="29">
      <c r="B29" s="166" t="n"/>
      <c r="C29" s="350" t="n"/>
      <c r="D29" s="350" t="n"/>
      <c r="E29" s="350" t="n"/>
      <c r="F29" s="350" t="n"/>
      <c r="G29" s="350" t="n"/>
      <c r="H29" s="351" t="n"/>
      <c r="I29" s="351" t="n"/>
      <c r="J29" s="351" t="n"/>
      <c r="K29" s="385" t="n"/>
      <c r="L29" s="385" t="n"/>
      <c r="M29" s="385" t="n"/>
      <c r="N29" s="385" t="n"/>
      <c r="O29" s="385" t="n"/>
    </row>
    <row r="30">
      <c r="B30" s="168" t="inlineStr">
        <is>
          <t>Interest on lease liabilities</t>
        </is>
      </c>
      <c r="C30" s="343">
        <f>C11</f>
        <v/>
      </c>
      <c r="D30" s="343">
        <f>D11</f>
        <v/>
      </c>
      <c r="E30" s="343">
        <f>E11</f>
        <v/>
      </c>
      <c r="F30" s="343">
        <f>F11</f>
        <v/>
      </c>
      <c r="G30" s="343">
        <f>G11</f>
        <v/>
      </c>
      <c r="H30" s="343">
        <f>H11</f>
        <v/>
      </c>
      <c r="I30" s="343">
        <f>I11</f>
        <v/>
      </c>
      <c r="J30" s="343">
        <f>J11</f>
        <v/>
      </c>
      <c r="K30" s="344">
        <f>K11</f>
        <v/>
      </c>
      <c r="L30" s="344">
        <f>L11</f>
        <v/>
      </c>
      <c r="M30" s="344">
        <f>M11</f>
        <v/>
      </c>
      <c r="N30" s="344">
        <f>N11</f>
        <v/>
      </c>
      <c r="O30" s="344">
        <f>O11</f>
        <v/>
      </c>
    </row>
    <row r="31">
      <c r="B31" s="168" t="inlineStr">
        <is>
          <t>Interest on Borrowings</t>
        </is>
      </c>
      <c r="C31" s="386">
        <f>C20</f>
        <v/>
      </c>
      <c r="D31" s="386">
        <f>D20</f>
        <v/>
      </c>
      <c r="E31" s="386">
        <f>E20</f>
        <v/>
      </c>
      <c r="F31" s="386">
        <f>F20</f>
        <v/>
      </c>
      <c r="G31" s="386">
        <f>G20</f>
        <v/>
      </c>
      <c r="H31" s="386">
        <f>H20</f>
        <v/>
      </c>
      <c r="I31" s="386">
        <f>I20</f>
        <v/>
      </c>
      <c r="J31" s="386">
        <f>J20</f>
        <v/>
      </c>
      <c r="K31" s="387">
        <f>K20</f>
        <v/>
      </c>
      <c r="L31" s="387">
        <f>L20</f>
        <v/>
      </c>
      <c r="M31" s="387">
        <f>M20</f>
        <v/>
      </c>
      <c r="N31" s="387">
        <f>N20</f>
        <v/>
      </c>
      <c r="O31" s="387">
        <f>O20</f>
        <v/>
      </c>
    </row>
    <row r="32">
      <c r="B32" s="168" t="inlineStr">
        <is>
          <t>Interest Others</t>
        </is>
      </c>
      <c r="C32" s="388" t="n">
        <v>38.1</v>
      </c>
      <c r="D32" s="388" t="n">
        <v>67.59999999999999</v>
      </c>
      <c r="E32" s="388" t="n">
        <v>55</v>
      </c>
      <c r="F32" s="388" t="n">
        <v>49</v>
      </c>
      <c r="G32" s="388" t="n">
        <v>121</v>
      </c>
      <c r="H32" s="375">
        <f>Assumptions!E21</f>
        <v/>
      </c>
      <c r="I32" s="375">
        <f>Assumptions!F21</f>
        <v/>
      </c>
      <c r="J32" s="375">
        <f>Assumptions!G21</f>
        <v/>
      </c>
      <c r="K32" s="389">
        <f>Assumptions!H21</f>
        <v/>
      </c>
      <c r="L32" s="389">
        <f>Assumptions!I21</f>
        <v/>
      </c>
      <c r="M32" s="389">
        <f>Assumptions!J21</f>
        <v/>
      </c>
      <c r="N32" s="389">
        <f>Assumptions!K21</f>
        <v/>
      </c>
      <c r="O32" s="389">
        <f>Assumptions!L21</f>
        <v/>
      </c>
      <c r="P32" s="343" t="n"/>
      <c r="Q32" s="343" t="n"/>
    </row>
    <row r="33">
      <c r="B33" s="179" t="inlineStr">
        <is>
          <t>Total</t>
        </is>
      </c>
      <c r="C33" s="180">
        <f>SUM(C30:C32)</f>
        <v/>
      </c>
      <c r="D33" s="180">
        <f>SUM(D30:D32)</f>
        <v/>
      </c>
      <c r="E33" s="180">
        <f>SUM(E30:E32)</f>
        <v/>
      </c>
      <c r="F33" s="180">
        <f>SUM(F30:F32)</f>
        <v/>
      </c>
      <c r="G33" s="180">
        <f>SUM(G30:G32)</f>
        <v/>
      </c>
      <c r="H33" s="180">
        <f>SUM(H30:H32)</f>
        <v/>
      </c>
      <c r="I33" s="180">
        <f>SUM(I30:I32)</f>
        <v/>
      </c>
      <c r="J33" s="180">
        <f>SUM(J30:J32)</f>
        <v/>
      </c>
      <c r="K33" s="181">
        <f>SUM(K30:K32)</f>
        <v/>
      </c>
      <c r="L33" s="181">
        <f>SUM(L30:L32)</f>
        <v/>
      </c>
      <c r="M33" s="181">
        <f>SUM(M30:M32)</f>
        <v/>
      </c>
      <c r="N33" s="181">
        <f>SUM(N30:N32)</f>
        <v/>
      </c>
      <c r="O33" s="181">
        <f>SUM(O30:O32)</f>
        <v/>
      </c>
    </row>
    <row r="34">
      <c r="B34" s="7" t="n"/>
      <c r="C34" s="161" t="n"/>
      <c r="D34" s="161" t="n"/>
      <c r="E34" s="161" t="n"/>
      <c r="F34" s="161" t="n"/>
      <c r="G34" s="161" t="n"/>
      <c r="H34" s="161" t="n"/>
      <c r="I34" s="161" t="n"/>
      <c r="J34" s="161" t="n"/>
      <c r="K34" s="161" t="n"/>
      <c r="L34" s="161" t="n"/>
      <c r="M34" s="161" t="n"/>
      <c r="N34" s="161" t="n"/>
      <c r="O34" s="161" t="n"/>
    </row>
    <row r="35">
      <c r="B35" s="7" t="n"/>
      <c r="C35" s="161" t="n"/>
      <c r="D35" s="161" t="n"/>
      <c r="E35" s="161" t="n"/>
      <c r="F35" s="161" t="n"/>
      <c r="G35" s="161" t="n"/>
      <c r="H35" s="161" t="n"/>
      <c r="I35" s="161" t="n"/>
      <c r="J35" s="161" t="n"/>
      <c r="K35" s="161" t="n"/>
      <c r="L35" s="161" t="n"/>
      <c r="M35" s="161" t="n"/>
      <c r="N35" s="161" t="n"/>
      <c r="O35" s="161" t="n"/>
    </row>
    <row r="36">
      <c r="C36" s="189" t="n"/>
      <c r="D36" s="222" t="n"/>
      <c r="E36" s="222" t="n"/>
      <c r="F36" s="222" t="n"/>
      <c r="G36" s="222" t="n"/>
      <c r="H36" s="222" t="n"/>
      <c r="I36" s="222" t="n"/>
      <c r="J36" s="222" t="n"/>
      <c r="K36" s="222" t="n"/>
      <c r="L36" s="222" t="n"/>
      <c r="M36" s="222" t="n"/>
      <c r="N36" s="222" t="n"/>
      <c r="O36" s="222" t="n"/>
    </row>
    <row r="37" ht="21" customHeight="1">
      <c r="B37" s="195" t="inlineStr">
        <is>
          <t>CWIP Schedule</t>
        </is>
      </c>
      <c r="C37" s="390" t="n"/>
      <c r="D37" s="390" t="n"/>
      <c r="E37" s="390" t="n"/>
      <c r="F37" s="390" t="n"/>
      <c r="G37" s="390" t="n"/>
      <c r="H37" s="390" t="n"/>
      <c r="I37" s="390" t="n"/>
      <c r="J37" s="390" t="n"/>
      <c r="K37" s="391" t="n"/>
      <c r="L37" s="391" t="n"/>
      <c r="M37" s="391" t="n"/>
      <c r="N37" s="391" t="n"/>
      <c r="O37" s="391" t="n"/>
    </row>
    <row r="38">
      <c r="B38" s="166" t="inlineStr">
        <is>
          <t>Particulars</t>
        </is>
      </c>
      <c r="C38" s="350" t="n">
        <v>2022</v>
      </c>
      <c r="D38" s="350">
        <f>C38+1</f>
        <v/>
      </c>
      <c r="E38" s="350">
        <f>D38+1</f>
        <v/>
      </c>
      <c r="F38" s="350">
        <f>E38+1</f>
        <v/>
      </c>
      <c r="G38" s="350">
        <f>F38+1</f>
        <v/>
      </c>
      <c r="H38" s="351">
        <f>G38+1</f>
        <v/>
      </c>
      <c r="I38" s="351">
        <f>H38+1</f>
        <v/>
      </c>
      <c r="J38" s="351">
        <f>I38+1</f>
        <v/>
      </c>
      <c r="K38" s="385">
        <f>J38+1</f>
        <v/>
      </c>
      <c r="L38" s="385">
        <f>K38+1</f>
        <v/>
      </c>
      <c r="M38" s="385">
        <f>L38+1</f>
        <v/>
      </c>
      <c r="N38" s="385">
        <f>M38+1</f>
        <v/>
      </c>
      <c r="O38" s="385">
        <f>N38+1</f>
        <v/>
      </c>
    </row>
    <row r="39">
      <c r="B39" s="168" t="n"/>
      <c r="C39" s="350" t="n"/>
      <c r="D39" s="350" t="n"/>
      <c r="E39" s="350" t="n"/>
      <c r="F39" s="350" t="n"/>
      <c r="G39" s="350" t="n"/>
      <c r="H39" s="351" t="n"/>
      <c r="I39" s="351" t="n"/>
      <c r="J39" s="351" t="n"/>
      <c r="K39" s="385" t="n"/>
      <c r="L39" s="385" t="n"/>
      <c r="M39" s="385" t="n"/>
      <c r="N39" s="385" t="n"/>
      <c r="O39" s="385" t="n"/>
    </row>
    <row r="40">
      <c r="B40" s="168" t="inlineStr">
        <is>
          <t>Revenue</t>
        </is>
      </c>
      <c r="C40" s="162">
        <f>PL!C6</f>
        <v/>
      </c>
      <c r="D40" s="162">
        <f>PL!D6</f>
        <v/>
      </c>
      <c r="E40" s="162">
        <f>PL!E6</f>
        <v/>
      </c>
      <c r="F40" s="162">
        <f>PL!F6</f>
        <v/>
      </c>
      <c r="G40" s="162">
        <f>PL!G6</f>
        <v/>
      </c>
      <c r="H40" s="162">
        <f>PL!H6</f>
        <v/>
      </c>
      <c r="I40" s="162">
        <f>PL!I6</f>
        <v/>
      </c>
      <c r="J40" s="162">
        <f>PL!J6</f>
        <v/>
      </c>
      <c r="K40" s="169">
        <f>PL!K6</f>
        <v/>
      </c>
      <c r="L40" s="169">
        <f>PL!L6</f>
        <v/>
      </c>
      <c r="M40" s="169">
        <f>PL!M6</f>
        <v/>
      </c>
      <c r="N40" s="169">
        <f>PL!N6</f>
        <v/>
      </c>
      <c r="O40" s="169">
        <f>PL!O6</f>
        <v/>
      </c>
    </row>
    <row r="41">
      <c r="B41" s="168" t="inlineStr">
        <is>
          <t>Opening</t>
        </is>
      </c>
      <c r="C41" s="343" t="n">
        <v>88.3</v>
      </c>
      <c r="D41" s="352">
        <f>C44</f>
        <v/>
      </c>
      <c r="E41" s="352">
        <f>D44</f>
        <v/>
      </c>
      <c r="F41" s="352">
        <f>E44</f>
        <v/>
      </c>
      <c r="G41" s="352">
        <f>F44</f>
        <v/>
      </c>
      <c r="H41" s="352">
        <f>G44</f>
        <v/>
      </c>
      <c r="I41" s="352">
        <f>H44</f>
        <v/>
      </c>
      <c r="J41" s="352">
        <f>I44</f>
        <v/>
      </c>
      <c r="K41" s="392">
        <f>J44</f>
        <v/>
      </c>
      <c r="L41" s="392">
        <f>K44</f>
        <v/>
      </c>
      <c r="M41" s="392">
        <f>L44</f>
        <v/>
      </c>
      <c r="N41" s="392">
        <f>M44</f>
        <v/>
      </c>
      <c r="O41" s="392">
        <f>N44</f>
        <v/>
      </c>
    </row>
    <row r="42">
      <c r="B42" s="168" t="inlineStr">
        <is>
          <t>Additions(Capex)</t>
        </is>
      </c>
      <c r="C42" s="343" t="n">
        <v>123.4</v>
      </c>
      <c r="D42" s="393" t="n">
        <v>114.3</v>
      </c>
      <c r="E42" s="393" t="n">
        <v>96</v>
      </c>
      <c r="F42" s="393" t="n">
        <v>161</v>
      </c>
      <c r="G42" s="393" t="n">
        <v>181</v>
      </c>
      <c r="H42" s="343">
        <f>H40*Assumptions!E12</f>
        <v/>
      </c>
      <c r="I42" s="343">
        <f>I40*Assumptions!F12</f>
        <v/>
      </c>
      <c r="J42" s="343">
        <f>J40*Assumptions!G12</f>
        <v/>
      </c>
      <c r="K42" s="344">
        <f>K40*Assumptions!H12</f>
        <v/>
      </c>
      <c r="L42" s="344">
        <f>L40*Assumptions!I12</f>
        <v/>
      </c>
      <c r="M42" s="344">
        <f>M40*Assumptions!J12</f>
        <v/>
      </c>
      <c r="N42" s="344">
        <f>N40*Assumptions!K12</f>
        <v/>
      </c>
      <c r="O42" s="344">
        <f>O40*Assumptions!L12</f>
        <v/>
      </c>
    </row>
    <row r="43">
      <c r="B43" s="168" t="inlineStr">
        <is>
          <t>Capitalised</t>
        </is>
      </c>
      <c r="C43" s="343" t="n">
        <v>-124</v>
      </c>
      <c r="D43" s="393" t="n">
        <v>-135.2</v>
      </c>
      <c r="E43" s="393" t="n">
        <v>-126</v>
      </c>
      <c r="F43" s="393" t="n">
        <v>-126</v>
      </c>
      <c r="G43" s="393" t="n">
        <v>-175.8</v>
      </c>
      <c r="H43" s="352">
        <f>-H42</f>
        <v/>
      </c>
      <c r="I43" s="352">
        <f>-I42</f>
        <v/>
      </c>
      <c r="J43" s="352">
        <f>-J42</f>
        <v/>
      </c>
      <c r="K43" s="392">
        <f>-K42</f>
        <v/>
      </c>
      <c r="L43" s="392">
        <f>-L42</f>
        <v/>
      </c>
      <c r="M43" s="392">
        <f>-M42</f>
        <v/>
      </c>
      <c r="N43" s="392">
        <f>-N42</f>
        <v/>
      </c>
      <c r="O43" s="392">
        <f>-O42</f>
        <v/>
      </c>
    </row>
    <row r="44">
      <c r="B44" s="172" t="inlineStr">
        <is>
          <t>Closing</t>
        </is>
      </c>
      <c r="C44" s="394">
        <f>SUM(C41:C43)</f>
        <v/>
      </c>
      <c r="D44" s="394">
        <f>SUM(D41:D43)</f>
        <v/>
      </c>
      <c r="E44" s="394">
        <f>SUM(E41:E43)</f>
        <v/>
      </c>
      <c r="F44" s="394">
        <f>SUM(F41:F43)</f>
        <v/>
      </c>
      <c r="G44" s="394">
        <f>SUM(G41:G43)</f>
        <v/>
      </c>
      <c r="H44" s="394">
        <f>SUM(H41:H43)</f>
        <v/>
      </c>
      <c r="I44" s="394">
        <f>SUM(I41:I43)</f>
        <v/>
      </c>
      <c r="J44" s="394">
        <f>SUM(J41:J43)</f>
        <v/>
      </c>
      <c r="K44" s="395">
        <f>SUM(K41:K43)</f>
        <v/>
      </c>
      <c r="L44" s="395">
        <f>SUM(L41:L43)</f>
        <v/>
      </c>
      <c r="M44" s="395">
        <f>SUM(M41:M43)</f>
        <v/>
      </c>
      <c r="N44" s="395">
        <f>SUM(N41:N43)</f>
        <v/>
      </c>
      <c r="O44" s="395">
        <f>SUM(O41:O43)</f>
        <v/>
      </c>
    </row>
    <row r="47">
      <c r="S47" s="315" t="n">
        <v>2026</v>
      </c>
      <c r="T47" s="396" t="n"/>
    </row>
    <row r="48" ht="21" customHeight="1">
      <c r="B48" s="195" t="inlineStr">
        <is>
          <t>Right of Use of Assets Schedule</t>
        </is>
      </c>
      <c r="C48" s="390" t="n"/>
      <c r="D48" s="390" t="n"/>
      <c r="E48" s="390" t="n"/>
      <c r="F48" s="390" t="n"/>
      <c r="G48" s="390" t="n"/>
      <c r="H48" s="390" t="n"/>
      <c r="I48" s="390" t="n"/>
      <c r="J48" s="390" t="n"/>
      <c r="K48" s="391" t="n"/>
      <c r="L48" s="391" t="n"/>
      <c r="M48" s="391" t="n"/>
      <c r="N48" s="391" t="n"/>
      <c r="O48" s="391" t="n"/>
      <c r="S48" s="115" t="inlineStr">
        <is>
          <t>Depreciation</t>
        </is>
      </c>
      <c r="T48" s="114" t="n">
        <v>289</v>
      </c>
    </row>
    <row r="49">
      <c r="B49" s="166" t="inlineStr">
        <is>
          <t>Particulars</t>
        </is>
      </c>
      <c r="C49" s="350" t="n">
        <v>2022</v>
      </c>
      <c r="D49" s="350">
        <f>C49+1</f>
        <v/>
      </c>
      <c r="E49" s="350">
        <f>D49+1</f>
        <v/>
      </c>
      <c r="F49" s="350">
        <f>E49+1</f>
        <v/>
      </c>
      <c r="G49" s="350">
        <f>F49+1</f>
        <v/>
      </c>
      <c r="H49" s="351">
        <f>G49+1</f>
        <v/>
      </c>
      <c r="I49" s="351">
        <f>H49+1</f>
        <v/>
      </c>
      <c r="J49" s="351">
        <f>I49+1</f>
        <v/>
      </c>
      <c r="K49" s="385">
        <f>J49+1</f>
        <v/>
      </c>
      <c r="L49" s="385">
        <f>K49+1</f>
        <v/>
      </c>
      <c r="M49" s="385">
        <f>L49+1</f>
        <v/>
      </c>
      <c r="N49" s="385">
        <f>M49+1</f>
        <v/>
      </c>
      <c r="O49" s="385">
        <f>N49+1</f>
        <v/>
      </c>
      <c r="S49" s="115" t="inlineStr">
        <is>
          <t>Payments of lease liabilities</t>
        </is>
      </c>
      <c r="T49" s="114" t="n">
        <v>144</v>
      </c>
    </row>
    <row r="50">
      <c r="B50" s="168" t="n"/>
      <c r="K50" s="344" t="n"/>
      <c r="L50" s="344" t="n"/>
      <c r="M50" s="344" t="n"/>
      <c r="N50" s="344" t="n"/>
      <c r="O50" s="344" t="n"/>
      <c r="S50" s="115" t="inlineStr">
        <is>
          <t>Interest paid</t>
        </is>
      </c>
      <c r="T50" s="114" t="n">
        <v>37</v>
      </c>
    </row>
    <row r="51">
      <c r="B51" s="168" t="inlineStr">
        <is>
          <t>Opening ROU assets</t>
        </is>
      </c>
      <c r="C51" s="356" t="n">
        <v>164.4</v>
      </c>
      <c r="D51" s="352">
        <f>C55</f>
        <v/>
      </c>
      <c r="E51" s="352">
        <f>D55</f>
        <v/>
      </c>
      <c r="F51" s="352">
        <f>E55</f>
        <v/>
      </c>
      <c r="G51" s="352">
        <f>F55</f>
        <v/>
      </c>
      <c r="H51" s="352">
        <f>G55</f>
        <v/>
      </c>
      <c r="I51" s="352">
        <f>H55</f>
        <v/>
      </c>
      <c r="J51" s="352">
        <f>I55</f>
        <v/>
      </c>
      <c r="K51" s="392">
        <f>J55</f>
        <v/>
      </c>
      <c r="L51" s="392">
        <f>K55</f>
        <v/>
      </c>
      <c r="M51" s="392">
        <f>L55</f>
        <v/>
      </c>
      <c r="N51" s="392">
        <f>M55</f>
        <v/>
      </c>
      <c r="O51" s="392">
        <f>N55</f>
        <v/>
      </c>
      <c r="S51" s="115" t="inlineStr">
        <is>
          <t>Finance costs (P&amp;L)</t>
        </is>
      </c>
      <c r="T51" s="114" t="n">
        <v>158</v>
      </c>
    </row>
    <row r="52">
      <c r="B52" s="168" t="inlineStr">
        <is>
          <t>Additions</t>
        </is>
      </c>
      <c r="C52" s="356" t="n">
        <v>229.2</v>
      </c>
      <c r="D52" s="356" t="n">
        <v>85.8</v>
      </c>
      <c r="E52" s="356" t="n">
        <v>184</v>
      </c>
      <c r="F52" s="356" t="n">
        <v>394</v>
      </c>
      <c r="G52" s="359">
        <f>G40*0.022</f>
        <v/>
      </c>
      <c r="H52" s="343">
        <f>Assumptions!E15*H40</f>
        <v/>
      </c>
      <c r="I52" s="343">
        <f>Assumptions!F15*I40</f>
        <v/>
      </c>
      <c r="J52" s="343">
        <f>Assumptions!G15*J40</f>
        <v/>
      </c>
      <c r="K52" s="344">
        <f>Assumptions!H15*K40</f>
        <v/>
      </c>
      <c r="L52" s="344">
        <f>Assumptions!I15*L40</f>
        <v/>
      </c>
      <c r="M52" s="344">
        <f>Assumptions!J15*M40</f>
        <v/>
      </c>
      <c r="N52" s="344">
        <f>Assumptions!K15*N40</f>
        <v/>
      </c>
      <c r="O52" s="344">
        <f>Assumptions!L15*O40</f>
        <v/>
      </c>
    </row>
    <row r="53">
      <c r="B53" s="168" t="inlineStr">
        <is>
          <t>Depreciation</t>
        </is>
      </c>
      <c r="C53" s="356" t="n">
        <v>-109.9</v>
      </c>
      <c r="D53" s="356" t="n">
        <v>-130.1</v>
      </c>
      <c r="E53" s="356" t="n">
        <v>-129</v>
      </c>
      <c r="F53" s="356" t="n">
        <v>-147</v>
      </c>
      <c r="G53" s="356" t="n">
        <v>-135</v>
      </c>
      <c r="H53" s="343">
        <f>H107</f>
        <v/>
      </c>
      <c r="I53" s="343">
        <f>I107</f>
        <v/>
      </c>
      <c r="J53" s="343">
        <f>J107</f>
        <v/>
      </c>
      <c r="K53" s="343">
        <f>K107</f>
        <v/>
      </c>
      <c r="L53" s="343">
        <f>L107</f>
        <v/>
      </c>
      <c r="M53" s="343">
        <f>M107</f>
        <v/>
      </c>
      <c r="N53" s="343">
        <f>N107</f>
        <v/>
      </c>
      <c r="O53" s="343">
        <f>O107</f>
        <v/>
      </c>
    </row>
    <row r="54">
      <c r="B54" s="168" t="inlineStr">
        <is>
          <t>Termination/Transfer</t>
        </is>
      </c>
      <c r="C54" s="356" t="n">
        <v>-23.1</v>
      </c>
      <c r="D54" s="356" t="n">
        <v>-43.7</v>
      </c>
      <c r="E54" s="356" t="n">
        <v>-1</v>
      </c>
      <c r="F54" s="356" t="n">
        <v>-17</v>
      </c>
      <c r="G54" s="356" t="n"/>
      <c r="K54" s="344" t="n"/>
      <c r="L54" s="344" t="n"/>
      <c r="M54" s="344" t="n"/>
      <c r="N54" s="344" t="n"/>
      <c r="O54" s="344" t="n"/>
    </row>
    <row r="55">
      <c r="B55" s="172" t="inlineStr">
        <is>
          <t>Closing ROU assets</t>
        </is>
      </c>
      <c r="C55" s="397">
        <f>SUM(C51:C54)</f>
        <v/>
      </c>
      <c r="D55" s="394">
        <f>SUM(D51:D54)</f>
        <v/>
      </c>
      <c r="E55" s="394">
        <f>SUM(E51:E54)</f>
        <v/>
      </c>
      <c r="F55" s="394">
        <f>SUM(F51:F54)</f>
        <v/>
      </c>
      <c r="G55" s="394">
        <f>SUM(G51:G54)</f>
        <v/>
      </c>
      <c r="H55" s="394">
        <f>SUM(H51:H54)</f>
        <v/>
      </c>
      <c r="I55" s="394">
        <f>SUM(I51:I54)</f>
        <v/>
      </c>
      <c r="J55" s="394">
        <f>SUM(J51:J54)</f>
        <v/>
      </c>
      <c r="K55" s="395">
        <f>SUM(K51:K54)</f>
        <v/>
      </c>
      <c r="L55" s="395">
        <f>SUM(L51:L54)</f>
        <v/>
      </c>
      <c r="M55" s="395">
        <f>SUM(M51:M54)</f>
        <v/>
      </c>
      <c r="N55" s="395">
        <f>SUM(N51:N54)</f>
        <v/>
      </c>
      <c r="O55" s="395">
        <f>SUM(O51:O54)</f>
        <v/>
      </c>
    </row>
    <row r="56">
      <c r="C56" s="356" t="n"/>
    </row>
    <row r="58">
      <c r="O58" s="343" t="n"/>
    </row>
    <row r="59" ht="21" customHeight="1">
      <c r="B59" s="195" t="inlineStr">
        <is>
          <t>Property Plant &amp; Equipment Schedule</t>
        </is>
      </c>
      <c r="C59" s="390" t="n"/>
      <c r="D59" s="390" t="n"/>
      <c r="E59" s="390" t="n"/>
      <c r="F59" s="390" t="n"/>
      <c r="G59" s="390" t="n"/>
      <c r="H59" s="390" t="n"/>
      <c r="I59" s="390" t="n"/>
      <c r="J59" s="390" t="n"/>
      <c r="K59" s="391" t="n"/>
      <c r="L59" s="391" t="n"/>
      <c r="M59" s="391" t="n"/>
      <c r="N59" s="391" t="n"/>
      <c r="O59" s="391" t="n"/>
    </row>
    <row r="60">
      <c r="B60" s="166" t="inlineStr">
        <is>
          <t>Particulars</t>
        </is>
      </c>
      <c r="C60" s="350" t="n">
        <v>2022</v>
      </c>
      <c r="D60" s="350">
        <f>C60+1</f>
        <v/>
      </c>
      <c r="E60" s="350">
        <f>D60+1</f>
        <v/>
      </c>
      <c r="F60" s="350">
        <f>E60+1</f>
        <v/>
      </c>
      <c r="G60" s="350">
        <f>F60+1</f>
        <v/>
      </c>
      <c r="H60" s="351">
        <f>G60+1</f>
        <v/>
      </c>
      <c r="I60" s="351">
        <f>H60+1</f>
        <v/>
      </c>
      <c r="J60" s="351">
        <f>I60+1</f>
        <v/>
      </c>
      <c r="K60" s="385">
        <f>J60+1</f>
        <v/>
      </c>
      <c r="L60" s="385">
        <f>K60+1</f>
        <v/>
      </c>
      <c r="M60" s="385">
        <f>L60+1</f>
        <v/>
      </c>
      <c r="N60" s="385">
        <f>M60+1</f>
        <v/>
      </c>
      <c r="O60" s="385">
        <f>N60+1</f>
        <v/>
      </c>
    </row>
    <row r="61">
      <c r="B61" s="168" t="n"/>
      <c r="K61" s="344" t="n"/>
      <c r="L61" s="344" t="n"/>
      <c r="M61" s="344" t="n"/>
      <c r="N61" s="344" t="n"/>
      <c r="O61" s="344" t="n"/>
    </row>
    <row r="62">
      <c r="B62" s="168" t="inlineStr">
        <is>
          <t>Gross PPE Opening</t>
        </is>
      </c>
      <c r="C62" s="356" t="n">
        <v>2247</v>
      </c>
      <c r="D62" s="356">
        <f>C65</f>
        <v/>
      </c>
      <c r="E62" s="356">
        <f>D65</f>
        <v/>
      </c>
      <c r="F62" s="356">
        <f>E65</f>
        <v/>
      </c>
      <c r="G62" s="356">
        <f>F65</f>
        <v/>
      </c>
      <c r="H62" s="356">
        <f>G65</f>
        <v/>
      </c>
      <c r="I62" s="356">
        <f>H65</f>
        <v/>
      </c>
      <c r="J62" s="356">
        <f>I65</f>
        <v/>
      </c>
      <c r="K62" s="398">
        <f>J65</f>
        <v/>
      </c>
      <c r="L62" s="398">
        <f>K65</f>
        <v/>
      </c>
      <c r="M62" s="398">
        <f>L65</f>
        <v/>
      </c>
      <c r="N62" s="398">
        <f>M65</f>
        <v/>
      </c>
      <c r="O62" s="398">
        <f>N65</f>
        <v/>
      </c>
    </row>
    <row r="63">
      <c r="B63" s="168" t="inlineStr">
        <is>
          <t>Capex</t>
        </is>
      </c>
      <c r="C63" s="356" t="n">
        <v>124</v>
      </c>
      <c r="D63" s="356" t="n">
        <v>145.2</v>
      </c>
      <c r="E63" s="356" t="n">
        <v>126</v>
      </c>
      <c r="F63" s="356" t="n">
        <v>126</v>
      </c>
      <c r="G63" s="356" t="n">
        <v>170</v>
      </c>
      <c r="H63" s="352">
        <f>H40*Assumptions!E13</f>
        <v/>
      </c>
      <c r="I63" s="352">
        <f>I40*Assumptions!F13</f>
        <v/>
      </c>
      <c r="J63" s="352">
        <f>J40*Assumptions!G13</f>
        <v/>
      </c>
      <c r="K63" s="352">
        <f>K40*Assumptions!H13</f>
        <v/>
      </c>
      <c r="L63" s="352">
        <f>L40*Assumptions!I13</f>
        <v/>
      </c>
      <c r="M63" s="352">
        <f>M40*Assumptions!J13</f>
        <v/>
      </c>
      <c r="N63" s="352">
        <f>N40*Assumptions!K13</f>
        <v/>
      </c>
      <c r="O63" s="352">
        <f>O40*Assumptions!L13</f>
        <v/>
      </c>
    </row>
    <row r="64">
      <c r="B64" s="168" t="inlineStr">
        <is>
          <t>Disposal/transfer</t>
        </is>
      </c>
      <c r="C64" s="356" t="n">
        <v>-121</v>
      </c>
      <c r="D64" s="356" t="n">
        <v>-383.2</v>
      </c>
      <c r="E64" s="356" t="n">
        <v>-245</v>
      </c>
      <c r="F64" s="356" t="n">
        <v>-80</v>
      </c>
      <c r="G64" s="356" t="n"/>
      <c r="K64" s="344" t="n"/>
      <c r="L64" s="344" t="n"/>
      <c r="M64" s="344" t="n"/>
      <c r="N64" s="344" t="n"/>
      <c r="O64" s="344" t="n"/>
      <c r="P64" s="399" t="n"/>
      <c r="Q64" s="399" t="n"/>
    </row>
    <row r="65">
      <c r="B65" s="166" t="inlineStr">
        <is>
          <t>Closing</t>
        </is>
      </c>
      <c r="C65" s="400">
        <f>SUM(C62:C64)</f>
        <v/>
      </c>
      <c r="D65" s="400">
        <f>SUM(D62:D64)</f>
        <v/>
      </c>
      <c r="E65" s="400">
        <f>SUM(E62:E64)</f>
        <v/>
      </c>
      <c r="F65" s="400">
        <f>SUM(F62:F64)</f>
        <v/>
      </c>
      <c r="G65" s="400">
        <f>SUM(G62:G64)</f>
        <v/>
      </c>
      <c r="H65" s="400">
        <f>SUM(H62:H64)</f>
        <v/>
      </c>
      <c r="I65" s="400">
        <f>SUM(I62:I64)</f>
        <v/>
      </c>
      <c r="J65" s="400">
        <f>SUM(J62:J64)</f>
        <v/>
      </c>
      <c r="K65" s="401">
        <f>SUM(K62:K64)</f>
        <v/>
      </c>
      <c r="L65" s="401">
        <f>SUM(L62:L64)</f>
        <v/>
      </c>
      <c r="M65" s="401">
        <f>SUM(M62:M64)</f>
        <v/>
      </c>
      <c r="N65" s="401">
        <f>SUM(N62:N64)</f>
        <v/>
      </c>
      <c r="O65" s="401">
        <f>SUM(O62:O64)</f>
        <v/>
      </c>
      <c r="P65" s="399" t="n"/>
      <c r="Q65" s="399" t="n"/>
    </row>
    <row r="66">
      <c r="B66" s="166" t="inlineStr">
        <is>
          <t>Accumulated Depreciation</t>
        </is>
      </c>
      <c r="C66" s="353" t="n">
        <v>-1035</v>
      </c>
      <c r="D66" s="353" t="n">
        <v>-1033.7</v>
      </c>
      <c r="E66" s="353" t="n">
        <v>-1049</v>
      </c>
      <c r="F66" s="353" t="n">
        <v>-1089</v>
      </c>
      <c r="G66" s="348">
        <f>-(G65-G67)</f>
        <v/>
      </c>
      <c r="H66" s="348">
        <f>G66+H99</f>
        <v/>
      </c>
      <c r="I66" s="348">
        <f>H66+I99</f>
        <v/>
      </c>
      <c r="J66" s="348">
        <f>I66+J99</f>
        <v/>
      </c>
      <c r="K66" s="348">
        <f>J66+K99</f>
        <v/>
      </c>
      <c r="L66" s="348">
        <f>K66+L99</f>
        <v/>
      </c>
      <c r="M66" s="348">
        <f>L66+M99</f>
        <v/>
      </c>
      <c r="N66" s="348">
        <f>M66+N99</f>
        <v/>
      </c>
      <c r="O66" s="348">
        <f>N66+O99</f>
        <v/>
      </c>
    </row>
    <row r="67">
      <c r="B67" s="172" t="inlineStr">
        <is>
          <t>Net Block</t>
        </is>
      </c>
      <c r="C67" s="394">
        <f>SUM(C65:C66)</f>
        <v/>
      </c>
      <c r="D67" s="394">
        <f>SUM(D65:D66)</f>
        <v/>
      </c>
      <c r="E67" s="394">
        <f>SUM(E65:E66)</f>
        <v/>
      </c>
      <c r="F67" s="394">
        <f>SUM(F65:F66)</f>
        <v/>
      </c>
      <c r="G67" s="394" t="n">
        <v>1215</v>
      </c>
      <c r="H67" s="394">
        <f>SUM(H65:H66)</f>
        <v/>
      </c>
      <c r="I67" s="394">
        <f>SUM(I65:I66)</f>
        <v/>
      </c>
      <c r="J67" s="394">
        <f>SUM(J65:J66)</f>
        <v/>
      </c>
      <c r="K67" s="395">
        <f>SUM(K65:K66)</f>
        <v/>
      </c>
      <c r="L67" s="395">
        <f>SUM(L65:L66)</f>
        <v/>
      </c>
      <c r="M67" s="395">
        <f>SUM(M65:M66)</f>
        <v/>
      </c>
      <c r="N67" s="395">
        <f>SUM(N65:N66)</f>
        <v/>
      </c>
      <c r="O67" s="395">
        <f>SUM(O65:O66)</f>
        <v/>
      </c>
    </row>
    <row r="68">
      <c r="O68" s="127" t="n"/>
    </row>
    <row r="69">
      <c r="O69" s="127" t="n"/>
    </row>
    <row r="70">
      <c r="B70" s="204" t="inlineStr">
        <is>
          <t>Total Depreciation &amp; Amortisation</t>
        </is>
      </c>
      <c r="C70" s="402" t="n"/>
      <c r="D70" s="402" t="n"/>
      <c r="E70" s="402" t="n"/>
      <c r="F70" s="402" t="n"/>
      <c r="G70" s="402" t="n"/>
      <c r="H70" s="402">
        <f>-H82+H99+H107</f>
        <v/>
      </c>
      <c r="I70" s="402">
        <f>-I82+I99+I107</f>
        <v/>
      </c>
      <c r="J70" s="402">
        <f>-J82+J99+J107</f>
        <v/>
      </c>
      <c r="K70" s="402">
        <f>-K82+K99+K107</f>
        <v/>
      </c>
      <c r="L70" s="402">
        <f>-L82+L99+L107</f>
        <v/>
      </c>
      <c r="M70" s="402">
        <f>-M82+M99+M107</f>
        <v/>
      </c>
      <c r="N70" s="402">
        <f>-N82+N99+N107</f>
        <v/>
      </c>
      <c r="O70" s="402">
        <f>-O82+O99+O107</f>
        <v/>
      </c>
    </row>
    <row r="71">
      <c r="B71" s="7" t="n"/>
      <c r="C71" s="348" t="n"/>
      <c r="D71" s="348" t="n"/>
      <c r="E71" s="348" t="n"/>
      <c r="F71" s="348" t="n"/>
      <c r="G71" s="348" t="n"/>
      <c r="H71" s="348" t="n"/>
      <c r="I71" s="348" t="n"/>
      <c r="J71" s="348" t="n"/>
      <c r="K71" s="348" t="n"/>
      <c r="L71" s="348" t="n"/>
      <c r="M71" s="348" t="n"/>
      <c r="N71" s="348" t="n"/>
      <c r="O71" s="348" t="n"/>
    </row>
    <row r="72">
      <c r="G72" s="222" t="n"/>
      <c r="O72" s="127" t="n"/>
    </row>
    <row r="73" ht="21" customHeight="1">
      <c r="B73" s="200" t="inlineStr">
        <is>
          <t>Intangible Assests Schedule</t>
        </is>
      </c>
      <c r="C73" s="390" t="n"/>
      <c r="D73" s="390" t="n"/>
      <c r="E73" s="390" t="n"/>
      <c r="F73" s="390" t="n"/>
      <c r="G73" s="390" t="n"/>
      <c r="H73" s="390" t="n"/>
      <c r="I73" s="390" t="n"/>
      <c r="J73" s="390" t="n"/>
      <c r="K73" s="391" t="n"/>
      <c r="L73" s="391" t="n"/>
      <c r="M73" s="391" t="n"/>
      <c r="N73" s="391" t="n"/>
      <c r="O73" s="391" t="n"/>
    </row>
    <row r="74">
      <c r="B74" s="166" t="inlineStr">
        <is>
          <t>Particulars</t>
        </is>
      </c>
      <c r="C74" s="350" t="n">
        <v>2022</v>
      </c>
      <c r="D74" s="350">
        <f>C74+1</f>
        <v/>
      </c>
      <c r="E74" s="350">
        <f>D74+1</f>
        <v/>
      </c>
      <c r="F74" s="350">
        <f>E74+1</f>
        <v/>
      </c>
      <c r="G74" s="350">
        <f>F74+1</f>
        <v/>
      </c>
      <c r="H74" s="351">
        <f>G74+1</f>
        <v/>
      </c>
      <c r="I74" s="351">
        <f>H74+1</f>
        <v/>
      </c>
      <c r="J74" s="351">
        <f>I74+1</f>
        <v/>
      </c>
      <c r="K74" s="385">
        <f>J74+1</f>
        <v/>
      </c>
      <c r="L74" s="385">
        <f>K74+1</f>
        <v/>
      </c>
      <c r="M74" s="385">
        <f>L74+1</f>
        <v/>
      </c>
      <c r="N74" s="385">
        <f>M74+1</f>
        <v/>
      </c>
      <c r="O74" s="385">
        <f>N74+1</f>
        <v/>
      </c>
    </row>
    <row r="75">
      <c r="B75" s="168" t="n"/>
      <c r="K75" s="344" t="n"/>
      <c r="L75" s="344" t="n"/>
      <c r="M75" s="344" t="n"/>
      <c r="N75" s="344" t="n"/>
      <c r="O75" s="344" t="n"/>
    </row>
    <row r="76">
      <c r="B76" s="168" t="inlineStr">
        <is>
          <t>Gross IA Opening</t>
        </is>
      </c>
      <c r="C76" s="356" t="n">
        <v>461.8</v>
      </c>
      <c r="D76" s="356">
        <f>C79</f>
        <v/>
      </c>
      <c r="E76" s="356">
        <f>D79</f>
        <v/>
      </c>
      <c r="F76" s="356">
        <f>E79</f>
        <v/>
      </c>
      <c r="G76" s="356">
        <f>F79</f>
        <v/>
      </c>
      <c r="H76" s="356">
        <f>G79</f>
        <v/>
      </c>
      <c r="I76" s="356">
        <f>H79</f>
        <v/>
      </c>
      <c r="J76" s="356">
        <f>I79</f>
        <v/>
      </c>
      <c r="K76" s="398">
        <f>J79</f>
        <v/>
      </c>
      <c r="L76" s="398">
        <f>K79</f>
        <v/>
      </c>
      <c r="M76" s="398">
        <f>L79</f>
        <v/>
      </c>
      <c r="N76" s="398">
        <f>M79</f>
        <v/>
      </c>
      <c r="O76" s="398">
        <f>N79</f>
        <v/>
      </c>
    </row>
    <row r="77">
      <c r="B77" s="168" t="inlineStr">
        <is>
          <t>Additions</t>
        </is>
      </c>
      <c r="C77" s="356" t="n">
        <v>3</v>
      </c>
      <c r="D77" s="356" t="n">
        <v>19</v>
      </c>
      <c r="E77" s="356" t="n">
        <v>18</v>
      </c>
      <c r="F77" s="356" t="n">
        <v>2</v>
      </c>
      <c r="G77" s="356" t="n">
        <v>11</v>
      </c>
      <c r="H77" s="352">
        <f>H42-H63</f>
        <v/>
      </c>
      <c r="I77" s="352">
        <f>I42-I63</f>
        <v/>
      </c>
      <c r="J77" s="352">
        <f>J42-J63</f>
        <v/>
      </c>
      <c r="K77" s="392">
        <f>K42-K63</f>
        <v/>
      </c>
      <c r="L77" s="392">
        <f>L42-L63</f>
        <v/>
      </c>
      <c r="M77" s="392">
        <f>M42-M63</f>
        <v/>
      </c>
      <c r="N77" s="392">
        <f>N42-N63</f>
        <v/>
      </c>
      <c r="O77" s="392">
        <f>O42-O63</f>
        <v/>
      </c>
      <c r="P77" s="352" t="n"/>
      <c r="Q77" s="352" t="n"/>
    </row>
    <row r="78">
      <c r="B78" s="168" t="inlineStr">
        <is>
          <t>Disposal/transfer</t>
        </is>
      </c>
      <c r="C78" s="356" t="n"/>
      <c r="D78" s="356" t="n">
        <v>-3.2</v>
      </c>
      <c r="E78" s="356" t="n"/>
      <c r="F78" s="356" t="n"/>
      <c r="G78" s="343" t="n">
        <v>-269</v>
      </c>
      <c r="K78" s="344" t="n"/>
      <c r="L78" s="344" t="n"/>
      <c r="M78" s="344" t="n"/>
      <c r="N78" s="344" t="n"/>
      <c r="O78" s="344" t="n"/>
    </row>
    <row r="79">
      <c r="B79" s="166" t="inlineStr">
        <is>
          <t>Closing</t>
        </is>
      </c>
      <c r="C79" s="400">
        <f>SUM(C76:C78)</f>
        <v/>
      </c>
      <c r="D79" s="400">
        <f>SUM(D76:D78)</f>
        <v/>
      </c>
      <c r="E79" s="400">
        <f>SUM(E76:E78)</f>
        <v/>
      </c>
      <c r="F79" s="400">
        <f>SUM(F76:F78)</f>
        <v/>
      </c>
      <c r="G79" s="400">
        <f>SUM(G76:G78)</f>
        <v/>
      </c>
      <c r="H79" s="400">
        <f>SUM(H76:H78)</f>
        <v/>
      </c>
      <c r="I79" s="400">
        <f>SUM(I76:I78)</f>
        <v/>
      </c>
      <c r="J79" s="400">
        <f>SUM(J76:J78)</f>
        <v/>
      </c>
      <c r="K79" s="401">
        <f>SUM(K76:K78)</f>
        <v/>
      </c>
      <c r="L79" s="401">
        <f>SUM(L76:L78)</f>
        <v/>
      </c>
      <c r="M79" s="401">
        <f>SUM(M76:M78)</f>
        <v/>
      </c>
      <c r="N79" s="401">
        <f>SUM(N76:N78)</f>
        <v/>
      </c>
      <c r="O79" s="401">
        <f>SUM(O76:O78)</f>
        <v/>
      </c>
    </row>
    <row r="80">
      <c r="B80" s="166" t="inlineStr">
        <is>
          <t>Accumulated Amortisation</t>
        </is>
      </c>
      <c r="C80" s="353" t="n">
        <v>-106.8</v>
      </c>
      <c r="D80" s="353" t="n">
        <v>-124</v>
      </c>
      <c r="E80" s="353" t="n">
        <v>-150</v>
      </c>
      <c r="F80" s="353" t="n">
        <v>-172</v>
      </c>
      <c r="G80" s="353">
        <f>F80-G82</f>
        <v/>
      </c>
      <c r="H80" s="353">
        <f>G80-H82</f>
        <v/>
      </c>
      <c r="I80" s="353">
        <f>H80-I82</f>
        <v/>
      </c>
      <c r="J80" s="353">
        <f>I80-J82</f>
        <v/>
      </c>
      <c r="K80" s="403">
        <f>J80-K82</f>
        <v/>
      </c>
      <c r="L80" s="403">
        <f>K80-L82</f>
        <v/>
      </c>
      <c r="M80" s="403">
        <f>L80-M82</f>
        <v/>
      </c>
      <c r="N80" s="403">
        <f>M80-N82</f>
        <v/>
      </c>
      <c r="O80" s="403">
        <f>N80-O82</f>
        <v/>
      </c>
    </row>
    <row r="81">
      <c r="B81" s="168" t="inlineStr">
        <is>
          <t>Net Block</t>
        </is>
      </c>
      <c r="C81" s="343">
        <f>SUM(C79:C80)</f>
        <v/>
      </c>
      <c r="D81" s="343">
        <f>SUM(D79:D80)</f>
        <v/>
      </c>
      <c r="E81" s="343">
        <f>SUM(E79:E80)</f>
        <v/>
      </c>
      <c r="F81" s="343">
        <f>SUM(F79:F80)</f>
        <v/>
      </c>
      <c r="G81" s="343" t="n">
        <v>76</v>
      </c>
      <c r="H81" s="343">
        <f>SUM(H79:H80)</f>
        <v/>
      </c>
      <c r="I81" s="343">
        <f>SUM(I79:I80)</f>
        <v/>
      </c>
      <c r="J81" s="343">
        <f>SUM(J79:J80)</f>
        <v/>
      </c>
      <c r="K81" s="344">
        <f>SUM(K79:K80)</f>
        <v/>
      </c>
      <c r="L81" s="344">
        <f>SUM(L79:L80)</f>
        <v/>
      </c>
      <c r="M81" s="344">
        <f>SUM(M79:M80)</f>
        <v/>
      </c>
      <c r="N81" s="344">
        <f>SUM(N79:N80)</f>
        <v/>
      </c>
      <c r="O81" s="344">
        <f>SUM(O79:O80)</f>
        <v/>
      </c>
    </row>
    <row r="82">
      <c r="B82" s="179" t="inlineStr">
        <is>
          <t>Amortisation Expense</t>
        </is>
      </c>
      <c r="C82" s="202" t="n">
        <v>20.6</v>
      </c>
      <c r="D82" s="202" t="n">
        <v>19</v>
      </c>
      <c r="E82" s="202" t="n">
        <v>25</v>
      </c>
      <c r="F82" s="202" t="n">
        <v>22</v>
      </c>
      <c r="G82" s="203" t="n">
        <v>21</v>
      </c>
      <c r="H82" s="346">
        <f>H76*Assumptions!E14</f>
        <v/>
      </c>
      <c r="I82" s="346">
        <f>I76*Assumptions!F14</f>
        <v/>
      </c>
      <c r="J82" s="346">
        <f>J76*Assumptions!G14</f>
        <v/>
      </c>
      <c r="K82" s="347">
        <f>K76*Assumptions!H14</f>
        <v/>
      </c>
      <c r="L82" s="347">
        <f>L76*Assumptions!I14</f>
        <v/>
      </c>
      <c r="M82" s="347">
        <f>M76*Assumptions!J14</f>
        <v/>
      </c>
      <c r="N82" s="347">
        <f>N76*Assumptions!K14</f>
        <v/>
      </c>
      <c r="O82" s="347">
        <f>O76*Assumptions!L14</f>
        <v/>
      </c>
    </row>
    <row r="83">
      <c r="O83" s="127" t="n"/>
    </row>
    <row r="84">
      <c r="O84" s="127" t="n"/>
    </row>
    <row r="85" ht="21" customHeight="1">
      <c r="B85" s="195" t="inlineStr">
        <is>
          <t>Depreciation on PPE Schedule</t>
        </is>
      </c>
      <c r="C85" s="390" t="n"/>
      <c r="D85" s="404" t="n"/>
      <c r="E85" s="404" t="n"/>
      <c r="F85" s="191" t="n"/>
      <c r="G85" s="191" t="n"/>
      <c r="H85" s="192" t="n"/>
      <c r="I85" s="192" t="n"/>
      <c r="J85" s="390" t="n"/>
      <c r="K85" s="391" t="n"/>
    </row>
    <row r="86">
      <c r="B86" s="166" t="inlineStr">
        <is>
          <t>Particulars</t>
        </is>
      </c>
      <c r="C86" s="350" t="n">
        <v>2022</v>
      </c>
      <c r="D86" s="350">
        <f>C86+1</f>
        <v/>
      </c>
      <c r="E86" s="350">
        <f>D86+1</f>
        <v/>
      </c>
      <c r="F86" s="350">
        <f>E86+1</f>
        <v/>
      </c>
      <c r="G86" s="350">
        <f>F86+1</f>
        <v/>
      </c>
      <c r="H86" s="351">
        <f>G86+1</f>
        <v/>
      </c>
      <c r="I86" s="351">
        <f>H86+1</f>
        <v/>
      </c>
      <c r="J86" s="351">
        <f>I86+1</f>
        <v/>
      </c>
      <c r="K86" s="351">
        <f>J86+1</f>
        <v/>
      </c>
      <c r="L86" s="351">
        <f>K86+1</f>
        <v/>
      </c>
      <c r="M86" s="351">
        <f>L86+1</f>
        <v/>
      </c>
      <c r="N86" s="351">
        <f>M86+1</f>
        <v/>
      </c>
      <c r="O86" s="351">
        <f>N86+1</f>
        <v/>
      </c>
      <c r="Q86" s="114" t="inlineStr">
        <is>
          <t>Useful life</t>
        </is>
      </c>
      <c r="R86" s="129" t="n">
        <v>16</v>
      </c>
    </row>
    <row r="87">
      <c r="B87" s="166" t="n"/>
      <c r="C87" s="350" t="n"/>
      <c r="D87" s="350" t="n"/>
      <c r="E87" s="350" t="n"/>
      <c r="F87" s="350" t="n"/>
      <c r="G87" s="350" t="n"/>
      <c r="H87" s="351" t="n"/>
      <c r="I87" s="351" t="n"/>
      <c r="J87" s="351" t="n"/>
      <c r="K87" s="385" t="n"/>
    </row>
    <row r="88">
      <c r="B88" s="168" t="inlineStr">
        <is>
          <t>Opening</t>
        </is>
      </c>
      <c r="C88" s="405" t="n"/>
      <c r="H88" s="352">
        <f>G67</f>
        <v/>
      </c>
      <c r="I88" s="352">
        <f>H67</f>
        <v/>
      </c>
      <c r="J88" s="352">
        <f>I67</f>
        <v/>
      </c>
      <c r="K88" s="352">
        <f>J67</f>
        <v/>
      </c>
      <c r="L88" s="352">
        <f>K67</f>
        <v/>
      </c>
      <c r="M88" s="352">
        <f>L67</f>
        <v/>
      </c>
      <c r="N88" s="352">
        <f>M67</f>
        <v/>
      </c>
      <c r="O88" s="352">
        <f>N67</f>
        <v/>
      </c>
    </row>
    <row r="89">
      <c r="B89" s="168" t="inlineStr">
        <is>
          <t>Capex</t>
        </is>
      </c>
      <c r="C89" s="406" t="n"/>
      <c r="H89" s="352">
        <f>H63</f>
        <v/>
      </c>
      <c r="I89" s="352">
        <f>I63</f>
        <v/>
      </c>
      <c r="J89" s="352">
        <f>J63</f>
        <v/>
      </c>
      <c r="K89" s="352">
        <f>K63</f>
        <v/>
      </c>
      <c r="L89" s="352">
        <f>L63</f>
        <v/>
      </c>
      <c r="M89" s="352">
        <f>M63</f>
        <v/>
      </c>
      <c r="N89" s="352">
        <f>N63</f>
        <v/>
      </c>
      <c r="O89" s="352">
        <f>O63</f>
        <v/>
      </c>
    </row>
    <row r="90">
      <c r="B90" s="168" t="inlineStr">
        <is>
          <t>Depreciation</t>
        </is>
      </c>
      <c r="H90" s="352">
        <f>-$G$65/$R$86</f>
        <v/>
      </c>
      <c r="I90" s="352">
        <f>H90</f>
        <v/>
      </c>
      <c r="J90" s="352">
        <f>I90</f>
        <v/>
      </c>
      <c r="K90" s="352">
        <f>J90</f>
        <v/>
      </c>
      <c r="L90" s="352">
        <f>K90</f>
        <v/>
      </c>
      <c r="M90" s="352">
        <f>L90</f>
        <v/>
      </c>
      <c r="N90" s="352">
        <f>M90</f>
        <v/>
      </c>
      <c r="O90" s="352">
        <f>N90</f>
        <v/>
      </c>
    </row>
    <row r="91">
      <c r="B91" s="168" t="inlineStr">
        <is>
          <t>Dep year 1 capex</t>
        </is>
      </c>
      <c r="H91" s="352">
        <f>-H89/$R$86</f>
        <v/>
      </c>
      <c r="I91" s="352">
        <f>H91</f>
        <v/>
      </c>
      <c r="J91" s="352">
        <f>I91</f>
        <v/>
      </c>
      <c r="K91" s="352">
        <f>J91</f>
        <v/>
      </c>
      <c r="L91" s="352">
        <f>K91</f>
        <v/>
      </c>
      <c r="M91" s="352">
        <f>L91</f>
        <v/>
      </c>
      <c r="N91" s="352">
        <f>M91</f>
        <v/>
      </c>
      <c r="O91" s="352">
        <f>N91</f>
        <v/>
      </c>
    </row>
    <row r="92">
      <c r="B92" s="168" t="inlineStr">
        <is>
          <t>Dep year 2 capex</t>
        </is>
      </c>
      <c r="H92" s="352" t="n"/>
      <c r="I92" s="352">
        <f>-I89/$R$86</f>
        <v/>
      </c>
      <c r="J92" s="352">
        <f>I92</f>
        <v/>
      </c>
      <c r="K92" s="352">
        <f>J92</f>
        <v/>
      </c>
      <c r="L92" s="352">
        <f>K92</f>
        <v/>
      </c>
      <c r="M92" s="352">
        <f>L92</f>
        <v/>
      </c>
      <c r="N92" s="352">
        <f>M92</f>
        <v/>
      </c>
      <c r="O92" s="352">
        <f>N92</f>
        <v/>
      </c>
    </row>
    <row r="93">
      <c r="B93" s="168" t="inlineStr">
        <is>
          <t>Dep year 3 capex</t>
        </is>
      </c>
      <c r="H93" s="352" t="n"/>
      <c r="I93" s="352" t="n"/>
      <c r="J93" s="352">
        <f>-J89/$R$86</f>
        <v/>
      </c>
      <c r="K93" s="352">
        <f>J93</f>
        <v/>
      </c>
      <c r="L93" s="352">
        <f>K93</f>
        <v/>
      </c>
      <c r="M93" s="352">
        <f>L93</f>
        <v/>
      </c>
      <c r="N93" s="352">
        <f>M93</f>
        <v/>
      </c>
      <c r="O93" s="352">
        <f>N93</f>
        <v/>
      </c>
    </row>
    <row r="94">
      <c r="B94" s="168" t="inlineStr">
        <is>
          <t>Dep year 4 capex</t>
        </is>
      </c>
      <c r="H94" s="352" t="n"/>
      <c r="I94" s="352" t="n"/>
      <c r="J94" s="352" t="n"/>
      <c r="K94" s="352">
        <f>-K89/$R$86</f>
        <v/>
      </c>
      <c r="L94" s="352">
        <f>K94</f>
        <v/>
      </c>
      <c r="M94" s="352">
        <f>L94</f>
        <v/>
      </c>
      <c r="N94" s="352">
        <f>M94</f>
        <v/>
      </c>
      <c r="O94" s="352">
        <f>N94</f>
        <v/>
      </c>
    </row>
    <row r="95">
      <c r="B95" s="168" t="inlineStr">
        <is>
          <t>Dep year 5 capex</t>
        </is>
      </c>
      <c r="H95" s="348" t="n"/>
      <c r="I95" s="348" t="n"/>
      <c r="J95" s="348" t="n"/>
      <c r="K95" s="407" t="n"/>
      <c r="L95" s="352">
        <f>-L89/$R$86</f>
        <v/>
      </c>
      <c r="M95" s="352">
        <f>L95</f>
        <v/>
      </c>
      <c r="N95" s="352">
        <f>M95</f>
        <v/>
      </c>
      <c r="O95" s="352">
        <f>N95</f>
        <v/>
      </c>
      <c r="P95" s="343" t="n"/>
    </row>
    <row r="96">
      <c r="B96" s="168" t="inlineStr">
        <is>
          <t>Dep year 6 capex</t>
        </is>
      </c>
      <c r="H96" s="348" t="n"/>
      <c r="I96" s="348" t="n"/>
      <c r="J96" s="348" t="n"/>
      <c r="K96" s="407" t="n"/>
      <c r="M96" s="352">
        <f>-M89/$R$86</f>
        <v/>
      </c>
      <c r="N96" s="352">
        <f>M96</f>
        <v/>
      </c>
      <c r="O96" s="352">
        <f>N96</f>
        <v/>
      </c>
    </row>
    <row r="97">
      <c r="B97" s="168" t="inlineStr">
        <is>
          <t>Dep year 7 capex</t>
        </is>
      </c>
      <c r="C97" s="350" t="n"/>
      <c r="D97" s="350" t="n"/>
      <c r="E97" s="350" t="n"/>
      <c r="F97" s="350" t="n"/>
      <c r="G97" s="350" t="n"/>
      <c r="H97" s="351" t="n"/>
      <c r="I97" s="351" t="n"/>
      <c r="J97" s="351" t="n"/>
      <c r="K97" s="385" t="n"/>
      <c r="N97" s="352">
        <f>-N89/$R$86</f>
        <v/>
      </c>
      <c r="O97" s="352">
        <f>N97</f>
        <v/>
      </c>
    </row>
    <row r="98" ht="21" customHeight="1">
      <c r="B98" s="168" t="inlineStr">
        <is>
          <t>Dep year 8 capex</t>
        </is>
      </c>
      <c r="D98" s="408" t="n"/>
      <c r="E98" s="408" t="n"/>
      <c r="F98" s="189" t="n"/>
      <c r="G98" s="189" t="n"/>
      <c r="H98" s="15" t="n"/>
      <c r="I98" s="15" t="n"/>
      <c r="K98" s="344" t="n"/>
      <c r="O98" s="352">
        <f>-O89/$R$86</f>
        <v/>
      </c>
    </row>
    <row r="99">
      <c r="B99" s="168" t="inlineStr">
        <is>
          <t>Depreciation</t>
        </is>
      </c>
      <c r="C99" s="350" t="n"/>
      <c r="D99" s="350" t="n"/>
      <c r="E99" s="350" t="n"/>
      <c r="F99" s="350" t="n"/>
      <c r="G99" s="350" t="n"/>
      <c r="H99" s="348">
        <f>SUM(H90:H98)</f>
        <v/>
      </c>
      <c r="I99" s="348">
        <f>SUM(I90:I98)</f>
        <v/>
      </c>
      <c r="J99" s="348">
        <f>SUM(J90:J98)</f>
        <v/>
      </c>
      <c r="K99" s="348">
        <f>SUM(K90:K98)</f>
        <v/>
      </c>
      <c r="L99" s="348">
        <f>SUM(L90:L98)</f>
        <v/>
      </c>
      <c r="M99" s="348">
        <f>SUM(M90:M98)</f>
        <v/>
      </c>
      <c r="N99" s="348">
        <f>SUM(N90:N98)</f>
        <v/>
      </c>
      <c r="O99" s="348">
        <f>SUM(O90:O98)</f>
        <v/>
      </c>
    </row>
    <row r="100">
      <c r="B100" s="168" t="inlineStr">
        <is>
          <t>Closing</t>
        </is>
      </c>
      <c r="H100" s="348">
        <f>SUM(H88:H89)+H99</f>
        <v/>
      </c>
      <c r="I100" s="348">
        <f>SUM(I88:I89)+I99</f>
        <v/>
      </c>
      <c r="J100" s="348">
        <f>SUM(J88:J89)+J99</f>
        <v/>
      </c>
      <c r="K100" s="348">
        <f>SUM(K88:K89)+K99</f>
        <v/>
      </c>
      <c r="L100" s="348">
        <f>SUM(L88:L89)+L99</f>
        <v/>
      </c>
      <c r="M100" s="348">
        <f>SUM(M88:M89)+M99</f>
        <v/>
      </c>
      <c r="N100" s="348">
        <f>SUM(N88:N89)+N99</f>
        <v/>
      </c>
      <c r="O100" s="348">
        <f>SUM(O88:O89)+O99</f>
        <v/>
      </c>
      <c r="P100" t="inlineStr">
        <is>
          <t>Deprecition on ROU</t>
        </is>
      </c>
      <c r="Q100" s="222" t="n"/>
      <c r="R100" s="111" t="n">
        <v>130.1</v>
      </c>
      <c r="S100" s="111" t="n">
        <v>129</v>
      </c>
      <c r="T100" s="111" t="n">
        <v>147</v>
      </c>
      <c r="U100" s="124" t="n">
        <v>135</v>
      </c>
    </row>
    <row r="101">
      <c r="B101" s="168" t="n"/>
      <c r="H101" s="343" t="n"/>
      <c r="I101" s="343" t="n"/>
      <c r="J101" s="343" t="n"/>
      <c r="K101" s="344" t="n"/>
      <c r="M101" s="114" t="n"/>
      <c r="N101" s="129" t="n"/>
      <c r="P101" t="inlineStr">
        <is>
          <t>Amortization on Intangible assets</t>
        </is>
      </c>
      <c r="Q101" s="343" t="n"/>
      <c r="R101" s="111" t="n">
        <v>19</v>
      </c>
      <c r="S101" s="111" t="n">
        <v>25</v>
      </c>
      <c r="T101" s="111" t="n">
        <v>22</v>
      </c>
      <c r="U101" s="124" t="n">
        <v>21</v>
      </c>
    </row>
    <row r="102">
      <c r="B102" s="195" t="inlineStr">
        <is>
          <t>Depreciation on ROU Schedule</t>
        </is>
      </c>
      <c r="H102" s="343" t="n"/>
      <c r="I102" s="343" t="n"/>
      <c r="J102" s="343" t="n"/>
      <c r="K102" s="344" t="n"/>
      <c r="P102" t="inlineStr">
        <is>
          <t>Total</t>
        </is>
      </c>
      <c r="Q102" s="343" t="n"/>
      <c r="R102" s="343">
        <f>SUM(D88:D101)</f>
        <v/>
      </c>
      <c r="S102" s="343">
        <f>SUM(E88:E101)</f>
        <v/>
      </c>
      <c r="T102" s="343">
        <f>SUM(F88:F101)</f>
        <v/>
      </c>
      <c r="U102" s="343">
        <f>SUM(G88:G101)</f>
        <v/>
      </c>
    </row>
    <row r="103">
      <c r="B103" s="166" t="inlineStr">
        <is>
          <t>Particulars</t>
        </is>
      </c>
      <c r="C103" s="351" t="n">
        <v>2022</v>
      </c>
      <c r="D103" s="351">
        <f>C103+1</f>
        <v/>
      </c>
      <c r="E103" s="351">
        <f>D103+1</f>
        <v/>
      </c>
      <c r="F103" s="351">
        <f>E103+1</f>
        <v/>
      </c>
      <c r="G103" s="351">
        <f>F103+1</f>
        <v/>
      </c>
      <c r="H103" s="351">
        <f>G103+1</f>
        <v/>
      </c>
      <c r="I103" s="351">
        <f>H103+1</f>
        <v/>
      </c>
      <c r="J103" s="351">
        <f>I103+1</f>
        <v/>
      </c>
      <c r="K103" s="351">
        <f>J103+1</f>
        <v/>
      </c>
      <c r="L103" s="351">
        <f>K103+1</f>
        <v/>
      </c>
      <c r="M103" s="351">
        <f>L103+1</f>
        <v/>
      </c>
      <c r="N103" s="351">
        <f>M103+1</f>
        <v/>
      </c>
      <c r="O103" s="351">
        <f>N103+1</f>
        <v/>
      </c>
      <c r="Q103" s="114" t="inlineStr">
        <is>
          <t>Amortisation %</t>
        </is>
      </c>
      <c r="R103" s="129">
        <f>Assumptions!E16</f>
        <v/>
      </c>
    </row>
    <row r="104">
      <c r="B104" s="168" t="n"/>
      <c r="H104" s="343" t="n"/>
      <c r="I104" s="343" t="n"/>
      <c r="J104" s="343" t="n"/>
      <c r="K104" s="344" t="n"/>
    </row>
    <row r="105">
      <c r="B105" s="168" t="inlineStr">
        <is>
          <t>Opening</t>
        </is>
      </c>
      <c r="H105" s="352">
        <f>G55</f>
        <v/>
      </c>
      <c r="I105" s="352">
        <f>H108</f>
        <v/>
      </c>
      <c r="J105" s="352">
        <f>I108</f>
        <v/>
      </c>
      <c r="K105" s="352">
        <f>J108</f>
        <v/>
      </c>
      <c r="L105" s="352">
        <f>K108</f>
        <v/>
      </c>
      <c r="M105" s="352">
        <f>L108</f>
        <v/>
      </c>
      <c r="N105" s="352">
        <f>M108</f>
        <v/>
      </c>
      <c r="O105" s="352">
        <f>N108</f>
        <v/>
      </c>
    </row>
    <row r="106">
      <c r="B106" s="168" t="inlineStr">
        <is>
          <t>Additions</t>
        </is>
      </c>
      <c r="H106" s="352">
        <f>H52</f>
        <v/>
      </c>
      <c r="I106" s="352">
        <f>I52</f>
        <v/>
      </c>
      <c r="J106" s="352">
        <f>J52</f>
        <v/>
      </c>
      <c r="K106" s="352">
        <f>K52</f>
        <v/>
      </c>
      <c r="L106" s="352">
        <f>L52</f>
        <v/>
      </c>
      <c r="M106" s="352">
        <f>M52</f>
        <v/>
      </c>
      <c r="N106" s="352">
        <f>N52</f>
        <v/>
      </c>
      <c r="O106" s="352">
        <f>O52</f>
        <v/>
      </c>
    </row>
    <row r="107">
      <c r="B107" s="168" t="inlineStr">
        <is>
          <t>Depreciation (30% x [Opening + 1/2 Additions])</t>
        </is>
      </c>
      <c r="H107" s="352">
        <f>-Assumptions!E16*(H105+0.5*H106)</f>
        <v/>
      </c>
      <c r="I107" s="352">
        <f>-Assumptions!F16*(I105+0.5*I106)</f>
        <v/>
      </c>
      <c r="J107" s="352">
        <f>-Assumptions!G16*(J105+0.5*J106)</f>
        <v/>
      </c>
      <c r="K107" s="352">
        <f>-Assumptions!H16*(K105+0.5*K106)</f>
        <v/>
      </c>
      <c r="L107" s="352">
        <f>-Assumptions!I16*(L105+0.5*L106)</f>
        <v/>
      </c>
      <c r="M107" s="352">
        <f>-Assumptions!J16*(M105+0.5*M106)</f>
        <v/>
      </c>
      <c r="N107" s="352">
        <f>-Assumptions!K16*(N105+0.5*N106)</f>
        <v/>
      </c>
      <c r="O107" s="352">
        <f>-Assumptions!L16*(O105+0.5*O106)</f>
        <v/>
      </c>
    </row>
    <row r="108">
      <c r="B108" s="168" t="inlineStr">
        <is>
          <t>Closing</t>
        </is>
      </c>
      <c r="H108" s="352">
        <f>H105+H106+H107</f>
        <v/>
      </c>
      <c r="I108" s="352">
        <f>I105+I106+I107</f>
        <v/>
      </c>
      <c r="J108" s="352">
        <f>J105+J106+J107</f>
        <v/>
      </c>
      <c r="K108" s="352">
        <f>K105+K106+K107</f>
        <v/>
      </c>
      <c r="L108" s="352">
        <f>L105+L106+L107</f>
        <v/>
      </c>
      <c r="M108" s="352">
        <f>M105+M106+M107</f>
        <v/>
      </c>
      <c r="N108" s="352">
        <f>N105+N106+N107</f>
        <v/>
      </c>
      <c r="O108" s="352">
        <f>O105+O106+O107</f>
        <v/>
      </c>
    </row>
    <row r="109">
      <c r="B109" s="168" t="n"/>
      <c r="C109" s="394" t="n"/>
      <c r="D109" s="394" t="n"/>
      <c r="E109" s="394" t="n"/>
      <c r="F109" s="394" t="n"/>
      <c r="G109" s="394" t="n"/>
      <c r="H109" s="346" t="n"/>
      <c r="I109" s="352" t="n"/>
      <c r="J109" s="352" t="n"/>
      <c r="K109" s="352" t="n"/>
      <c r="L109" s="352" t="n"/>
      <c r="M109" s="352" t="n"/>
      <c r="N109" s="352" t="n"/>
      <c r="O109" s="352" t="n"/>
    </row>
    <row r="110">
      <c r="B110" s="168" t="n"/>
      <c r="J110" s="352" t="n"/>
      <c r="K110" s="352" t="n"/>
      <c r="L110" s="352" t="n"/>
      <c r="M110" s="352" t="n"/>
      <c r="N110" s="352" t="n"/>
      <c r="O110" s="352" t="n"/>
    </row>
    <row r="111">
      <c r="B111" s="168" t="n"/>
      <c r="K111" s="352" t="n"/>
      <c r="L111" s="352" t="n"/>
      <c r="M111" s="352" t="n"/>
      <c r="N111" s="352" t="n"/>
      <c r="O111" s="352" t="n"/>
    </row>
    <row r="112">
      <c r="B112" s="168" t="n"/>
      <c r="L112" s="352" t="n"/>
      <c r="M112" s="352" t="n"/>
      <c r="N112" s="352" t="n"/>
      <c r="O112" s="352" t="n"/>
    </row>
    <row r="113">
      <c r="B113" s="168" t="n"/>
      <c r="D113" s="408" t="n"/>
      <c r="E113" s="408" t="n"/>
      <c r="F113" s="189" t="n"/>
      <c r="G113" s="189" t="n"/>
      <c r="H113" s="15" t="n"/>
      <c r="I113" s="15" t="n"/>
      <c r="K113" s="344" t="n"/>
      <c r="M113" s="352" t="n"/>
      <c r="N113" s="352" t="n"/>
      <c r="O113" s="352" t="n"/>
    </row>
    <row r="114">
      <c r="B114" s="168" t="n"/>
      <c r="C114" s="350" t="n"/>
      <c r="D114" s="350" t="n"/>
      <c r="E114" s="350" t="n"/>
      <c r="F114" s="350" t="n"/>
      <c r="G114" s="350" t="n"/>
      <c r="H114" s="351" t="n"/>
      <c r="I114" s="351" t="n"/>
      <c r="J114" s="351" t="n"/>
      <c r="K114" s="385" t="n"/>
      <c r="N114" s="352" t="n"/>
      <c r="O114" s="352" t="n"/>
    </row>
    <row r="115">
      <c r="B115" s="168" t="n"/>
      <c r="O115" s="352" t="n"/>
    </row>
    <row r="116">
      <c r="B116" s="168" t="n"/>
      <c r="H116" s="348" t="n"/>
      <c r="I116" s="348" t="n"/>
      <c r="J116" s="348" t="n"/>
      <c r="K116" s="348" t="n"/>
      <c r="L116" s="348" t="n"/>
      <c r="M116" s="348" t="n"/>
      <c r="N116" s="348" t="n"/>
      <c r="O116" s="348" t="n"/>
    </row>
    <row r="117">
      <c r="B117" s="168" t="n"/>
      <c r="H117" s="348" t="n"/>
      <c r="I117" s="348" t="n"/>
      <c r="J117" s="348" t="n"/>
      <c r="K117" s="348" t="n"/>
      <c r="L117" s="348" t="n"/>
      <c r="M117" s="348" t="n"/>
      <c r="N117" s="348" t="n"/>
      <c r="O117" s="348" t="n"/>
    </row>
  </sheetData>
  <mergeCells count="1">
    <mergeCell ref="S47:T47"/>
  </mergeCell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T28"/>
  <sheetViews>
    <sheetView showGridLines="0" topLeftCell="B15" zoomScale="76" zoomScaleNormal="76" workbookViewId="0">
      <selection activeCell="C31" sqref="C31:F31"/>
    </sheetView>
  </sheetViews>
  <sheetFormatPr baseColWidth="8" defaultRowHeight="14.4"/>
  <cols>
    <col width="2.77734375" customWidth="1" min="1" max="1"/>
    <col width="50.77734375" customWidth="1" min="2" max="2"/>
    <col width="10.77734375" customWidth="1" style="343" min="3" max="6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0.77734375" customWidth="1" min="11" max="20"/>
  </cols>
  <sheetData>
    <row r="2" ht="21" customHeight="1">
      <c r="B2" s="112" t="inlineStr">
        <is>
          <t>DCF Valuation</t>
        </is>
      </c>
      <c r="K2" s="112" t="inlineStr">
        <is>
          <t>WACC Calculation</t>
        </is>
      </c>
    </row>
    <row r="4">
      <c r="B4" s="243" t="inlineStr">
        <is>
          <t>Particulars</t>
        </is>
      </c>
      <c r="C4" s="244" t="n">
        <v>2027</v>
      </c>
      <c r="D4" s="244">
        <f>C4+1</f>
        <v/>
      </c>
      <c r="E4" s="244">
        <f>D4+1</f>
        <v/>
      </c>
      <c r="F4" s="245">
        <f>E4+1</f>
        <v/>
      </c>
      <c r="G4" s="245">
        <f>F4+1</f>
        <v/>
      </c>
      <c r="H4" s="245">
        <f>G4+1</f>
        <v/>
      </c>
      <c r="I4" s="245">
        <f>H4+1</f>
        <v/>
      </c>
      <c r="J4" s="245">
        <f>I4+1</f>
        <v/>
      </c>
      <c r="K4" s="248" t="inlineStr">
        <is>
          <t>Risk Free Rate</t>
        </is>
      </c>
      <c r="L4" s="175" t="n"/>
      <c r="M4" s="175" t="n"/>
      <c r="N4" s="261" t="n">
        <v>0.07000000000000001</v>
      </c>
      <c r="O4" s="175" t="inlineStr">
        <is>
          <t>(10-yr G-Sec)</t>
        </is>
      </c>
      <c r="P4" s="175" t="n"/>
      <c r="Q4" s="175" t="n"/>
      <c r="R4" s="175" t="n"/>
      <c r="S4" s="176" t="n"/>
    </row>
    <row r="5">
      <c r="B5" s="168" t="n"/>
      <c r="F5" s="344" t="n"/>
      <c r="G5" s="344" t="n"/>
      <c r="H5" s="344" t="n"/>
      <c r="I5" s="344" t="n"/>
      <c r="J5" s="344" t="n"/>
      <c r="K5" s="168" t="inlineStr">
        <is>
          <t>Rm</t>
        </is>
      </c>
      <c r="N5" s="78" t="n">
        <v>0.11</v>
      </c>
      <c r="O5" t="inlineStr">
        <is>
          <t>Nifty50 5 Year Monthly Return</t>
        </is>
      </c>
      <c r="S5" s="262" t="n"/>
    </row>
    <row r="6">
      <c r="B6" s="168" t="inlineStr">
        <is>
          <t>EBIT</t>
        </is>
      </c>
      <c r="C6" s="352">
        <f>PL!M15</f>
        <v/>
      </c>
      <c r="D6" s="352">
        <f>PL!N15</f>
        <v/>
      </c>
      <c r="E6" s="352">
        <f>PL!O15</f>
        <v/>
      </c>
      <c r="F6" s="392">
        <f>PL!P15</f>
        <v/>
      </c>
      <c r="G6" s="392">
        <f>PL!Q15</f>
        <v/>
      </c>
      <c r="H6" s="392">
        <f>PL!R15</f>
        <v/>
      </c>
      <c r="I6" s="392">
        <f>PL!S15</f>
        <v/>
      </c>
      <c r="J6" s="392">
        <f>PL!T15</f>
        <v/>
      </c>
      <c r="K6" s="168" t="inlineStr">
        <is>
          <t>Market Risk Premium</t>
        </is>
      </c>
      <c r="N6" s="259" t="n">
        <v>0.04</v>
      </c>
      <c r="O6" t="inlineStr">
        <is>
          <t>Rm-Rf</t>
        </is>
      </c>
      <c r="S6" s="262" t="n"/>
    </row>
    <row r="7">
      <c r="B7" s="168" t="inlineStr">
        <is>
          <t>Tax</t>
        </is>
      </c>
      <c r="C7" s="246">
        <f>Assumptions!E10</f>
        <v/>
      </c>
      <c r="D7" s="246">
        <f>Assumptions!F10</f>
        <v/>
      </c>
      <c r="E7" s="246">
        <f>Assumptions!G10</f>
        <v/>
      </c>
      <c r="F7" s="247">
        <f>Assumptions!H10</f>
        <v/>
      </c>
      <c r="G7" s="247">
        <f>Assumptions!I10</f>
        <v/>
      </c>
      <c r="H7" s="247">
        <f>Assumptions!J10</f>
        <v/>
      </c>
      <c r="I7" s="247">
        <f>Assumptions!K10</f>
        <v/>
      </c>
      <c r="J7" s="247">
        <f>Assumptions!L10</f>
        <v/>
      </c>
      <c r="K7" s="168" t="inlineStr">
        <is>
          <t>Beta</t>
        </is>
      </c>
      <c r="N7" s="260">
        <f>'Beta Calculation'!C7</f>
        <v/>
      </c>
      <c r="O7" t="inlineStr">
        <is>
          <t>Rf​+β×ERP</t>
        </is>
      </c>
      <c r="S7" s="262" t="n"/>
    </row>
    <row r="8">
      <c r="B8" s="166" t="inlineStr">
        <is>
          <t>NOPAT</t>
        </is>
      </c>
      <c r="C8" s="348">
        <f>C6*(1-C7)</f>
        <v/>
      </c>
      <c r="D8" s="348">
        <f>D6*(1-D7)</f>
        <v/>
      </c>
      <c r="E8" s="348">
        <f>E6*(1-E7)</f>
        <v/>
      </c>
      <c r="F8" s="407">
        <f>F6*(1-F7)</f>
        <v/>
      </c>
      <c r="G8" s="407">
        <f>G6*(1-G7)</f>
        <v/>
      </c>
      <c r="H8" s="407">
        <f>H6*(1-H7)</f>
        <v/>
      </c>
      <c r="I8" s="407">
        <f>I6*(1-I7)</f>
        <v/>
      </c>
      <c r="J8" s="407">
        <f>J6*(1-J7)</f>
        <v/>
      </c>
      <c r="K8" s="168" t="inlineStr">
        <is>
          <t>CAPM</t>
        </is>
      </c>
      <c r="N8" s="222">
        <f>N4+N7*N6</f>
        <v/>
      </c>
      <c r="S8" s="262" t="n"/>
    </row>
    <row r="9">
      <c r="B9" s="168" t="inlineStr">
        <is>
          <t>Dep &amp; Amor.</t>
        </is>
      </c>
      <c r="C9" s="352">
        <f>-PL!M14</f>
        <v/>
      </c>
      <c r="D9" s="352">
        <f>-PL!N14</f>
        <v/>
      </c>
      <c r="E9" s="352">
        <f>-PL!O14</f>
        <v/>
      </c>
      <c r="F9" s="392">
        <f>-PL!P14</f>
        <v/>
      </c>
      <c r="G9" s="392">
        <f>-PL!Q14</f>
        <v/>
      </c>
      <c r="H9" s="392">
        <f>-PL!R14</f>
        <v/>
      </c>
      <c r="I9" s="392">
        <f>-PL!S14</f>
        <v/>
      </c>
      <c r="J9" s="392">
        <f>-PL!T14</f>
        <v/>
      </c>
      <c r="K9" s="172" t="inlineStr">
        <is>
          <t>WACC</t>
        </is>
      </c>
      <c r="L9" s="263" t="n"/>
      <c r="M9" s="263" t="n"/>
      <c r="N9" s="264">
        <f>N8</f>
        <v/>
      </c>
      <c r="O9" s="263" t="inlineStr">
        <is>
          <t>Debt is almost negligible, therefore no impact on WACC</t>
        </is>
      </c>
      <c r="P9" s="263" t="n"/>
      <c r="Q9" s="263" t="n"/>
      <c r="R9" s="263" t="n"/>
      <c r="S9" s="265" t="n"/>
    </row>
    <row r="10">
      <c r="B10" s="168" t="inlineStr">
        <is>
          <t>Capex</t>
        </is>
      </c>
      <c r="C10" s="352">
        <f>-'Working Schedules'!H42</f>
        <v/>
      </c>
      <c r="D10" s="352">
        <f>-'Working Schedules'!I42</f>
        <v/>
      </c>
      <c r="E10" s="352">
        <f>-'Working Schedules'!J42</f>
        <v/>
      </c>
      <c r="F10" s="392">
        <f>-'Working Schedules'!K42</f>
        <v/>
      </c>
      <c r="G10" s="392">
        <f>-'Working Schedules'!L42</f>
        <v/>
      </c>
      <c r="H10" s="392">
        <f>-'Working Schedules'!M42</f>
        <v/>
      </c>
      <c r="I10" s="392">
        <f>-'Working Schedules'!N42</f>
        <v/>
      </c>
      <c r="J10" s="392">
        <f>-'Working Schedules'!O42</f>
        <v/>
      </c>
    </row>
    <row r="11">
      <c r="B11" s="168" t="inlineStr">
        <is>
          <t>Changes in NWC</t>
        </is>
      </c>
      <c r="C11" s="352">
        <f>-'Working Capital Schedule'!M21</f>
        <v/>
      </c>
      <c r="D11" s="352">
        <f>-'Working Capital Schedule'!N21</f>
        <v/>
      </c>
      <c r="E11" s="352">
        <f>-'Working Capital Schedule'!O21</f>
        <v/>
      </c>
      <c r="F11" s="392">
        <f>-'Working Capital Schedule'!P21</f>
        <v/>
      </c>
      <c r="G11" s="392">
        <f>-'Working Capital Schedule'!Q21</f>
        <v/>
      </c>
      <c r="H11" s="392">
        <f>-'Working Capital Schedule'!R21</f>
        <v/>
      </c>
      <c r="I11" s="392">
        <f>-'Working Capital Schedule'!S21</f>
        <v/>
      </c>
      <c r="J11" s="392">
        <f>-'Working Capital Schedule'!T21</f>
        <v/>
      </c>
    </row>
    <row r="12">
      <c r="B12" s="166" t="inlineStr">
        <is>
          <t>Free Cash Flow</t>
        </is>
      </c>
      <c r="C12" s="348">
        <f>SUM(C8:C11)</f>
        <v/>
      </c>
      <c r="D12" s="348">
        <f>SUM(D8:D11)</f>
        <v/>
      </c>
      <c r="E12" s="348">
        <f>SUM(E8:E11)</f>
        <v/>
      </c>
      <c r="F12" s="407">
        <f>SUM(F8:F11)</f>
        <v/>
      </c>
      <c r="G12" s="407">
        <f>SUM(G8:G11)</f>
        <v/>
      </c>
      <c r="H12" s="407">
        <f>SUM(H8:H11)</f>
        <v/>
      </c>
      <c r="I12" s="407">
        <f>SUM(I8:I11)</f>
        <v/>
      </c>
      <c r="J12" s="407">
        <f>SUM(J8:J11)</f>
        <v/>
      </c>
      <c r="N12" s="189" t="n"/>
    </row>
    <row r="13">
      <c r="B13" s="172" t="inlineStr">
        <is>
          <t>Discount Period</t>
        </is>
      </c>
      <c r="C13" s="394" t="n">
        <v>1</v>
      </c>
      <c r="D13" s="394" t="n">
        <v>2</v>
      </c>
      <c r="E13" s="394" t="n">
        <v>3</v>
      </c>
      <c r="F13" s="395" t="n">
        <v>4</v>
      </c>
      <c r="G13" s="395" t="n">
        <v>5</v>
      </c>
      <c r="H13" s="395" t="n">
        <v>6</v>
      </c>
      <c r="I13" s="395" t="n">
        <v>7</v>
      </c>
      <c r="J13" s="395" t="n">
        <v>8</v>
      </c>
      <c r="N13" s="15" t="n"/>
    </row>
    <row r="15" ht="21" customHeight="1">
      <c r="B15" s="204" t="inlineStr">
        <is>
          <t>PV of FCF</t>
        </is>
      </c>
      <c r="C15" s="402">
        <f>C12/(1+$N$9)^C13</f>
        <v/>
      </c>
      <c r="D15" s="402">
        <f>D12/(1+$N$9)^D13</f>
        <v/>
      </c>
      <c r="E15" s="402">
        <f>E12/(1+$N$9)^E13</f>
        <v/>
      </c>
      <c r="F15" s="409">
        <f>F12/(1+$N$9)^F13</f>
        <v/>
      </c>
      <c r="G15" s="409">
        <f>G12/(1+$N$9)^G13</f>
        <v/>
      </c>
      <c r="H15" s="409">
        <f>H12/(1+$N$9)^H13</f>
        <v/>
      </c>
      <c r="I15" s="409">
        <f>I12/(1+$N$9)^I13</f>
        <v/>
      </c>
      <c r="J15" s="409">
        <f>J12/(1+$N$9)^J13</f>
        <v/>
      </c>
      <c r="K15" s="112" t="inlineStr">
        <is>
          <t>Sensitivity Analysis</t>
        </is>
      </c>
      <c r="R15" s="266" t="inlineStr">
        <is>
          <t>Horizontal axis</t>
        </is>
      </c>
      <c r="S15" s="266" t="n"/>
      <c r="T15" s="266" t="inlineStr">
        <is>
          <t>WACC</t>
        </is>
      </c>
    </row>
    <row r="16">
      <c r="R16" s="266" t="inlineStr">
        <is>
          <t>Vertical axis</t>
        </is>
      </c>
      <c r="S16" s="266" t="n"/>
      <c r="T16" s="266" t="inlineStr">
        <is>
          <t>Terminal Growth</t>
        </is>
      </c>
    </row>
    <row r="17">
      <c r="B17" s="237" t="n"/>
      <c r="C17" s="410" t="n"/>
      <c r="D17" s="410" t="n"/>
      <c r="E17" s="410" t="n"/>
      <c r="F17" s="410" t="n"/>
      <c r="G17" s="237" t="n"/>
    </row>
    <row r="18">
      <c r="B18" s="248" t="inlineStr">
        <is>
          <t>Terminal Growth Rate (g)</t>
        </is>
      </c>
      <c r="C18" s="249" t="n">
        <v>0.06</v>
      </c>
      <c r="K18" s="411">
        <f>IF(C28&lt;0,"",C28)</f>
        <v/>
      </c>
      <c r="L18" s="412" t="n">
        <v>0.08</v>
      </c>
      <c r="M18" s="412">
        <f>L18+0.5%</f>
        <v/>
      </c>
      <c r="N18" s="412">
        <f>M18+0.5%</f>
        <v/>
      </c>
      <c r="O18" s="412">
        <f>N18+0.5%</f>
        <v/>
      </c>
      <c r="P18" s="412">
        <f>O18+0.5%</f>
        <v/>
      </c>
      <c r="Q18" s="412" t="n">
        <v>0.106922106866838</v>
      </c>
      <c r="R18" s="412" t="n">
        <v>0.11</v>
      </c>
      <c r="S18" s="412">
        <f>R18+0.5%</f>
        <v/>
      </c>
      <c r="T18" s="413">
        <f>S18+0.5%</f>
        <v/>
      </c>
    </row>
    <row r="19">
      <c r="B19" s="168" t="inlineStr">
        <is>
          <t>Terminal Year FCF</t>
        </is>
      </c>
      <c r="C19" s="250">
        <f>J12</f>
        <v/>
      </c>
      <c r="K19" s="414" t="n">
        <v>0.05</v>
      </c>
      <c r="L19" s="415">
        <f t="dataTable" ref="L19:T27" dt2D="1" dtr="1" r1="N9" r2="C18"/>
        <v/>
      </c>
      <c r="M19" s="415" t="n">
        <v>814.2296191093112</v>
      </c>
      <c r="N19" s="415" t="n">
        <v>715.7337057623714</v>
      </c>
      <c r="O19" s="415" t="n">
        <v>639.1435622000446</v>
      </c>
      <c r="P19" s="415" t="n">
        <v>577.8871335413411</v>
      </c>
      <c r="Q19" s="415" t="n">
        <v>510.8666573547807</v>
      </c>
      <c r="R19" s="415" t="n">
        <v>486.0406604172233</v>
      </c>
      <c r="S19" s="415" t="n">
        <v>450.7322433151519</v>
      </c>
      <c r="T19" s="416" t="n">
        <v>420.4782218974161</v>
      </c>
    </row>
    <row r="20">
      <c r="B20" s="166" t="inlineStr">
        <is>
          <t>Terminal Value</t>
        </is>
      </c>
      <c r="C20" s="407">
        <f>C19*(1+C18)/(N9-C18)</f>
        <v/>
      </c>
      <c r="K20" s="414">
        <f>K19+0.5%</f>
        <v/>
      </c>
      <c r="L20" s="415" t="n">
        <v>1114.690075034077</v>
      </c>
      <c r="M20" s="415" t="n">
        <v>933.3569255683853</v>
      </c>
      <c r="N20" s="415" t="n">
        <v>803.8552920535187</v>
      </c>
      <c r="O20" s="415" t="n">
        <v>706.7479638366879</v>
      </c>
      <c r="P20" s="415" t="n">
        <v>631.2364994925068</v>
      </c>
      <c r="Q20" s="415" t="n">
        <v>550.7237283031403</v>
      </c>
      <c r="R20" s="415" t="n">
        <v>521.4409618148101</v>
      </c>
      <c r="S20" s="415" t="n">
        <v>480.2851788657817</v>
      </c>
      <c r="T20" s="416" t="n">
        <v>445.471566154869</v>
      </c>
    </row>
    <row r="21">
      <c r="B21" s="168" t="inlineStr">
        <is>
          <t>PV of Terminal Value</t>
        </is>
      </c>
      <c r="C21" s="344">
        <f>C20/(1+N9)^J13</f>
        <v/>
      </c>
      <c r="K21" s="414">
        <f>K20+0.5%</f>
        <v/>
      </c>
      <c r="L21" s="415" t="n">
        <v>1368.348075723526</v>
      </c>
      <c r="M21" s="415" t="n">
        <v>1100.13515461109</v>
      </c>
      <c r="N21" s="415" t="n">
        <v>921.3507404417155</v>
      </c>
      <c r="O21" s="415" t="n">
        <v>793.6679087980865</v>
      </c>
      <c r="P21" s="415" t="n">
        <v>697.9232069314642</v>
      </c>
      <c r="Q21" s="417" t="n">
        <v>599.0751047313182</v>
      </c>
      <c r="R21" s="415" t="n">
        <v>563.9213234919143</v>
      </c>
      <c r="S21" s="415" t="n">
        <v>515.2113754256172</v>
      </c>
      <c r="T21" s="416" t="n">
        <v>474.6304677885643</v>
      </c>
    </row>
    <row r="22">
      <c r="B22" s="168" t="inlineStr">
        <is>
          <t>Sum of OV of FCF</t>
        </is>
      </c>
      <c r="C22" s="344">
        <f>SUM(C15:J15)</f>
        <v/>
      </c>
      <c r="K22" s="414">
        <f>K21+0.5%</f>
        <v/>
      </c>
      <c r="L22" s="415" t="n">
        <v>1791.111410205942</v>
      </c>
      <c r="M22" s="415" t="n">
        <v>1350.302498175146</v>
      </c>
      <c r="N22" s="415" t="n">
        <v>1085.844368185191</v>
      </c>
      <c r="O22" s="415" t="n">
        <v>909.561168746618</v>
      </c>
      <c r="P22" s="415" t="n">
        <v>783.6632593529806</v>
      </c>
      <c r="Q22" s="415" t="n">
        <v>658.9601038807401</v>
      </c>
      <c r="R22" s="415" t="n">
        <v>615.8417655417081</v>
      </c>
      <c r="S22" s="415" t="n">
        <v>557.1228112974196</v>
      </c>
      <c r="T22" s="416" t="n">
        <v>509.0909879011131</v>
      </c>
    </row>
    <row r="23">
      <c r="B23" s="166" t="inlineStr">
        <is>
          <t>Enterprise Value</t>
        </is>
      </c>
      <c r="C23" s="407">
        <f>C21+C22</f>
        <v/>
      </c>
      <c r="K23" s="414">
        <f>K22+0.5%</f>
        <v/>
      </c>
      <c r="L23" s="415" t="n">
        <v>2636.638079170775</v>
      </c>
      <c r="M23" s="415" t="n">
        <v>1767.248070781907</v>
      </c>
      <c r="N23" s="415" t="n">
        <v>1332.584809800404</v>
      </c>
      <c r="O23" s="415" t="n">
        <v>1071.811732674562</v>
      </c>
      <c r="P23" s="415" t="n">
        <v>897.9833292483358</v>
      </c>
      <c r="Q23" s="415" t="n">
        <v>735.0643830851712</v>
      </c>
      <c r="R23" s="415" t="n">
        <v>680.7423181039507</v>
      </c>
      <c r="S23" s="415" t="n">
        <v>608.3478995851782</v>
      </c>
      <c r="T23" s="416" t="n">
        <v>550.4436120361718</v>
      </c>
    </row>
    <row r="24">
      <c r="B24" s="168" t="inlineStr">
        <is>
          <t>Cash</t>
        </is>
      </c>
      <c r="C24" s="344">
        <f>BS!L45</f>
        <v/>
      </c>
      <c r="K24" s="414">
        <f>K23+0.5%</f>
        <v/>
      </c>
      <c r="L24" s="415" t="n">
        <v>5173.218086065278</v>
      </c>
      <c r="M24" s="415" t="n">
        <v>2601.139215995429</v>
      </c>
      <c r="N24" s="415" t="n">
        <v>1743.818879159093</v>
      </c>
      <c r="O24" s="415" t="n">
        <v>1315.187578566479</v>
      </c>
      <c r="P24" s="415" t="n">
        <v>1058.031427101833</v>
      </c>
      <c r="Q24" s="415" t="n">
        <v>835.0092814322852</v>
      </c>
      <c r="R24" s="415" t="n">
        <v>764.1858856839767</v>
      </c>
      <c r="S24" s="415" t="n">
        <v>672.3792599448765</v>
      </c>
      <c r="T24" s="416" t="n">
        <v>600.9857082012433</v>
      </c>
    </row>
    <row r="25">
      <c r="B25" s="168" t="inlineStr">
        <is>
          <t>Debt</t>
        </is>
      </c>
      <c r="C25" s="344">
        <f>-BS!L17</f>
        <v/>
      </c>
      <c r="K25" s="414">
        <f>K24+0.5%</f>
        <v/>
      </c>
      <c r="L25" s="415" t="str"/>
      <c r="M25" s="415" t="n">
        <v>5102.812651636002</v>
      </c>
      <c r="N25" s="415" t="n">
        <v>2566.287017876471</v>
      </c>
      <c r="O25" s="415" t="n">
        <v>1720.81398838634</v>
      </c>
      <c r="P25" s="415" t="n">
        <v>1298.10357388208</v>
      </c>
      <c r="Q25" s="415" t="n">
        <v>972.0779081864893</v>
      </c>
      <c r="R25" s="415" t="n">
        <v>875.4439757906783</v>
      </c>
      <c r="S25" s="415" t="n">
        <v>754.7052946930601</v>
      </c>
      <c r="T25" s="416" t="n">
        <v>664.1633284075829</v>
      </c>
    </row>
    <row r="26">
      <c r="B26" s="166" t="inlineStr">
        <is>
          <t>Equity Value</t>
        </is>
      </c>
      <c r="C26" s="407">
        <f>SUM(C23:C25)</f>
        <v/>
      </c>
      <c r="K26" s="414">
        <f>K25+0.5%</f>
        <v/>
      </c>
      <c r="L26" s="415" t="str"/>
      <c r="M26" s="415" t="str"/>
      <c r="N26" s="415" t="n">
        <v>5033.691434028609</v>
      </c>
      <c r="O26" s="415" t="n">
        <v>2532.066808026063</v>
      </c>
      <c r="P26" s="415" t="n">
        <v>1698.223818515824</v>
      </c>
      <c r="Q26" s="415" t="n">
        <v>1171.671833073215</v>
      </c>
      <c r="R26" s="415" t="n">
        <v>1031.20530194006</v>
      </c>
      <c r="S26" s="415" t="n">
        <v>864.4733410239713</v>
      </c>
      <c r="T26" s="416" t="n">
        <v>745.3916972443052</v>
      </c>
    </row>
    <row r="27">
      <c r="B27" s="168" t="inlineStr">
        <is>
          <t>Shares Outstanding</t>
        </is>
      </c>
      <c r="C27" s="344" t="n">
        <v>72.73999999999999</v>
      </c>
      <c r="K27" s="418">
        <f>K26+0.5%</f>
        <v/>
      </c>
      <c r="L27" s="419" t="str"/>
      <c r="M27" s="419" t="str"/>
      <c r="N27" s="419" t="str"/>
      <c r="O27" s="419" t="n">
        <v>4965.825266945235</v>
      </c>
      <c r="P27" s="419" t="n">
        <v>2498.464307783313</v>
      </c>
      <c r="Q27" s="419" t="n">
        <v>1489.214383658474</v>
      </c>
      <c r="R27" s="419" t="n">
        <v>1264.847291164134</v>
      </c>
      <c r="S27" s="419" t="n">
        <v>1018.148605887247</v>
      </c>
      <c r="T27" s="420" t="n">
        <v>853.6961890266017</v>
      </c>
    </row>
    <row r="28">
      <c r="B28" s="179" t="inlineStr">
        <is>
          <t>Per Share Value</t>
        </is>
      </c>
      <c r="C28" s="421">
        <f>C26/C27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282"/>
  <sheetViews>
    <sheetView showGridLines="0" zoomScale="72" workbookViewId="0">
      <selection activeCell="C8" sqref="C8"/>
    </sheetView>
  </sheetViews>
  <sheetFormatPr baseColWidth="8" defaultRowHeight="14.4"/>
  <cols>
    <col width="2.77734375" customWidth="1" min="1" max="1"/>
    <col width="20.77734375" customWidth="1" min="2" max="3"/>
    <col width="5.77734375" customWidth="1" min="4" max="4"/>
    <col width="20.77734375" customWidth="1" min="5" max="9"/>
    <col width="20.77734375" customWidth="1" min="11" max="12"/>
    <col width="22" bestFit="1" customWidth="1" min="13" max="13"/>
    <col width="20.77734375" customWidth="1" min="14" max="16"/>
  </cols>
  <sheetData>
    <row r="2" ht="21" customHeight="1">
      <c r="B2" s="112" t="inlineStr">
        <is>
          <t>Beta Calculation</t>
        </is>
      </c>
      <c r="E2" s="215" t="inlineStr">
        <is>
          <t>Beta Calculation Using Weekly Prices of last 5 years</t>
        </is>
      </c>
      <c r="F2" s="216" t="n"/>
      <c r="G2" s="216" t="n"/>
      <c r="H2" s="216" t="n"/>
      <c r="I2" s="230" t="inlineStr">
        <is>
          <t>Beta</t>
        </is>
      </c>
      <c r="K2" s="215" t="inlineStr">
        <is>
          <t>Beta Calculation Using MOnthly Prices of last 5 years</t>
        </is>
      </c>
      <c r="L2" s="216" t="n"/>
      <c r="M2" s="216" t="n"/>
      <c r="N2" s="216" t="n"/>
      <c r="O2" s="230" t="inlineStr">
        <is>
          <t>Beta</t>
        </is>
      </c>
    </row>
    <row r="3">
      <c r="E3" s="217" t="n"/>
      <c r="I3" s="422">
        <f>SLOPE(G5:G273,I5:I273)</f>
        <v/>
      </c>
      <c r="K3" s="217" t="n"/>
      <c r="O3" s="422">
        <f>SLOPE(M5:M65,O5:O65)</f>
        <v/>
      </c>
    </row>
    <row r="4">
      <c r="B4" s="232" t="inlineStr">
        <is>
          <t>Adjusted Beta</t>
        </is>
      </c>
      <c r="C4" s="233" t="inlineStr">
        <is>
          <t>0.67×Raw Beta+0.33</t>
        </is>
      </c>
      <c r="D4" s="214" t="n"/>
      <c r="E4" s="218" t="inlineStr">
        <is>
          <t>Date</t>
        </is>
      </c>
      <c r="F4" s="219" t="inlineStr">
        <is>
          <t>Price</t>
        </is>
      </c>
      <c r="G4" s="219" t="inlineStr">
        <is>
          <t>% Change</t>
        </is>
      </c>
      <c r="H4" s="219" t="inlineStr">
        <is>
          <t>Nifty FMCG</t>
        </is>
      </c>
      <c r="I4" s="220" t="inlineStr">
        <is>
          <t>% Change</t>
        </is>
      </c>
      <c r="K4" s="218" t="inlineStr">
        <is>
          <t>Date</t>
        </is>
      </c>
      <c r="L4" s="219" t="inlineStr">
        <is>
          <t>Price</t>
        </is>
      </c>
      <c r="M4" s="219" t="inlineStr">
        <is>
          <t>% Change</t>
        </is>
      </c>
      <c r="N4" s="219" t="inlineStr">
        <is>
          <t>Nifty FMCG</t>
        </is>
      </c>
      <c r="O4" s="220" t="inlineStr">
        <is>
          <t>% Change</t>
        </is>
      </c>
    </row>
    <row r="5" customFormat="1" s="343">
      <c r="B5" s="423" t="n"/>
      <c r="C5" s="424" t="n"/>
      <c r="E5" s="423" t="n">
        <v>46173</v>
      </c>
      <c r="F5" s="343" t="n">
        <v>1246.7</v>
      </c>
      <c r="G5" s="222">
        <f>LN(F5/F6)</f>
        <v/>
      </c>
      <c r="H5" s="223" t="n">
        <v>48302.45</v>
      </c>
      <c r="I5" s="224">
        <f>LN(H5/H6)</f>
        <v/>
      </c>
      <c r="K5" s="423" t="n">
        <v>46143</v>
      </c>
      <c r="L5" s="343" t="n">
        <v>1270</v>
      </c>
      <c r="M5" s="222">
        <f>LN(L5/L6)</f>
        <v/>
      </c>
      <c r="N5" s="223" t="n">
        <v>49383.35</v>
      </c>
      <c r="O5" s="224">
        <f>LN(N5/N6)</f>
        <v/>
      </c>
    </row>
    <row r="6" customFormat="1" s="343">
      <c r="B6" s="423" t="inlineStr">
        <is>
          <t>Raw Beta</t>
        </is>
      </c>
      <c r="C6" s="424">
        <f>O3</f>
        <v/>
      </c>
      <c r="E6" s="423" t="n">
        <v>46166</v>
      </c>
      <c r="F6" s="343" t="n">
        <v>1270</v>
      </c>
      <c r="G6" s="222">
        <f>LN(F6/F7)</f>
        <v/>
      </c>
      <c r="H6" s="223" t="n">
        <v>49383.35</v>
      </c>
      <c r="I6" s="224">
        <f>LN(H6/H7)</f>
        <v/>
      </c>
      <c r="K6" s="423" t="n">
        <v>46113</v>
      </c>
      <c r="L6" s="343" t="n">
        <v>1325.6</v>
      </c>
      <c r="M6" s="222">
        <f>LN(L6/L7)</f>
        <v/>
      </c>
      <c r="N6" s="223" t="n">
        <v>51072.1</v>
      </c>
      <c r="O6" s="224">
        <f>LN(N6/N7)</f>
        <v/>
      </c>
    </row>
    <row r="7" customFormat="1" s="343">
      <c r="B7" s="425" t="inlineStr">
        <is>
          <t>Adjusted Beta</t>
        </is>
      </c>
      <c r="C7" s="426">
        <f>0.67*C6+0.33</f>
        <v/>
      </c>
      <c r="E7" s="423" t="n">
        <v>46159</v>
      </c>
      <c r="F7" s="343" t="n">
        <v>1282.1</v>
      </c>
      <c r="G7" s="222">
        <f>LN(F7/F8)</f>
        <v/>
      </c>
      <c r="H7" s="223" t="n">
        <v>50249.8</v>
      </c>
      <c r="I7" s="224">
        <f>LN(H7/H8)</f>
        <v/>
      </c>
      <c r="K7" s="423" t="n">
        <v>46082</v>
      </c>
      <c r="L7" s="343" t="n">
        <v>1218.8</v>
      </c>
      <c r="M7" s="222">
        <f>LN(L7/L8)</f>
        <v/>
      </c>
      <c r="N7" s="223" t="n">
        <v>45538.65</v>
      </c>
      <c r="O7" s="224">
        <f>LN(N7/N8)</f>
        <v/>
      </c>
    </row>
    <row r="8" customFormat="1" s="343">
      <c r="B8" s="427" t="n"/>
      <c r="E8" s="423" t="n">
        <v>46152</v>
      </c>
      <c r="F8" s="343" t="n">
        <v>1320.7</v>
      </c>
      <c r="G8" s="222">
        <f>LN(F8/F9)</f>
        <v/>
      </c>
      <c r="H8" s="223" t="n">
        <v>51051.35</v>
      </c>
      <c r="I8" s="224">
        <f>LN(H8/H9)</f>
        <v/>
      </c>
      <c r="K8" s="423" t="n">
        <v>46054</v>
      </c>
      <c r="L8" s="343" t="n">
        <v>1380.8</v>
      </c>
      <c r="M8" s="222">
        <f>LN(L8/L9)</f>
        <v/>
      </c>
      <c r="N8" s="223" t="n">
        <v>51142.2</v>
      </c>
      <c r="O8" s="224">
        <f>LN(N8/N9)</f>
        <v/>
      </c>
    </row>
    <row r="9" customFormat="1" s="343">
      <c r="B9" s="427" t="n"/>
      <c r="E9" s="423" t="n">
        <v>46145</v>
      </c>
      <c r="F9" s="343" t="n">
        <v>1280.8</v>
      </c>
      <c r="G9" s="222">
        <f>LN(F9/F10)</f>
        <v/>
      </c>
      <c r="H9" s="223" t="n">
        <v>51165.9</v>
      </c>
      <c r="I9" s="224">
        <f>LN(H9/H10)</f>
        <v/>
      </c>
      <c r="K9" s="423" t="n">
        <v>46023</v>
      </c>
      <c r="L9" s="343" t="n">
        <v>1362.6</v>
      </c>
      <c r="M9" s="222">
        <f>LN(L9/L10)</f>
        <v/>
      </c>
      <c r="N9" s="223" t="n">
        <v>51215.2</v>
      </c>
      <c r="O9" s="224">
        <f>LN(N9/N10)</f>
        <v/>
      </c>
    </row>
    <row r="10" customFormat="1" s="343">
      <c r="B10" s="427" t="n"/>
      <c r="E10" s="423" t="n">
        <v>46138</v>
      </c>
      <c r="F10" s="343" t="n">
        <v>1325.6</v>
      </c>
      <c r="G10" s="222">
        <f>LN(F10/F11)</f>
        <v/>
      </c>
      <c r="H10" s="223" t="n">
        <v>51072.1</v>
      </c>
      <c r="I10" s="224">
        <f>LN(H10/H11)</f>
        <v/>
      </c>
      <c r="K10" s="423" t="n">
        <v>45992</v>
      </c>
      <c r="L10" s="343" t="n">
        <v>1443.7</v>
      </c>
      <c r="M10" s="222">
        <f>LN(L10/L11)</f>
        <v/>
      </c>
      <c r="N10" s="223" t="n">
        <v>55475.65</v>
      </c>
      <c r="O10" s="224">
        <f>LN(N10/N11)</f>
        <v/>
      </c>
    </row>
    <row r="11" customFormat="1" s="343">
      <c r="B11" s="427" t="n"/>
      <c r="E11" s="423" t="n">
        <v>46131</v>
      </c>
      <c r="F11" s="343" t="n">
        <v>1391.9</v>
      </c>
      <c r="G11" s="222">
        <f>LN(F11/F12)</f>
        <v/>
      </c>
      <c r="H11" s="223" t="n">
        <v>50766.25</v>
      </c>
      <c r="I11" s="224">
        <f>LN(H11/H12)</f>
        <v/>
      </c>
      <c r="K11" s="423" t="n">
        <v>45962</v>
      </c>
      <c r="L11" s="343" t="n">
        <v>1451.6</v>
      </c>
      <c r="M11" s="222">
        <f>LN(L11/L12)</f>
        <v/>
      </c>
      <c r="N11" s="223" t="n">
        <v>55595.8</v>
      </c>
      <c r="O11" s="224">
        <f>LN(N11/N12)</f>
        <v/>
      </c>
    </row>
    <row r="12" customFormat="1" s="343">
      <c r="B12" s="427" t="n"/>
      <c r="E12" s="423" t="n">
        <v>46124</v>
      </c>
      <c r="F12" s="343" t="n">
        <v>1302.9</v>
      </c>
      <c r="G12" s="222">
        <f>LN(F12/F13)</f>
        <v/>
      </c>
      <c r="H12" s="223" t="n">
        <v>49657.75</v>
      </c>
      <c r="I12" s="224">
        <f>LN(H12/H13)</f>
        <v/>
      </c>
      <c r="K12" s="423" t="n">
        <v>45931</v>
      </c>
      <c r="L12" s="343" t="n">
        <v>1431.4</v>
      </c>
      <c r="M12" s="222">
        <f>LN(L12/L13)</f>
        <v/>
      </c>
      <c r="N12" s="223" t="n">
        <v>56208.5</v>
      </c>
      <c r="O12" s="224">
        <f>LN(N12/N13)</f>
        <v/>
      </c>
    </row>
    <row r="13" customFormat="1" s="343">
      <c r="B13" s="427" t="n"/>
      <c r="E13" s="423" t="n">
        <v>46117</v>
      </c>
      <c r="F13" s="343" t="n">
        <v>1268.2</v>
      </c>
      <c r="G13" s="222">
        <f>LN(F13/F14)</f>
        <v/>
      </c>
      <c r="H13" s="223" t="n">
        <v>48194.05</v>
      </c>
      <c r="I13" s="224">
        <f>LN(H13/H14)</f>
        <v/>
      </c>
      <c r="K13" s="423" t="n">
        <v>45901</v>
      </c>
      <c r="L13" s="343" t="n">
        <v>1324.3</v>
      </c>
      <c r="M13" s="222">
        <f>LN(L13/L14)</f>
        <v/>
      </c>
      <c r="N13" s="223" t="n">
        <v>54710.7</v>
      </c>
      <c r="O13" s="224">
        <f>LN(N13/N14)</f>
        <v/>
      </c>
    </row>
    <row r="14" customFormat="1" s="343">
      <c r="B14" s="427" t="n"/>
      <c r="E14" s="423" t="n">
        <v>46110</v>
      </c>
      <c r="F14" s="343" t="n">
        <v>1221.2</v>
      </c>
      <c r="G14" s="222">
        <f>LN(F14/F15)</f>
        <v/>
      </c>
      <c r="H14" s="223" t="n">
        <v>46232.15</v>
      </c>
      <c r="I14" s="224">
        <f>LN(H14/H15)</f>
        <v/>
      </c>
      <c r="K14" s="423" t="n">
        <v>45870</v>
      </c>
      <c r="L14" s="343" t="n">
        <v>1311</v>
      </c>
      <c r="M14" s="222">
        <f>LN(L14/L15)</f>
        <v/>
      </c>
      <c r="N14" s="223" t="n">
        <v>56141.85</v>
      </c>
      <c r="O14" s="224">
        <f>LN(N14/N15)</f>
        <v/>
      </c>
    </row>
    <row r="15" customFormat="1" s="343">
      <c r="B15" s="427" t="n"/>
      <c r="E15" s="423" t="n">
        <v>46103</v>
      </c>
      <c r="F15" s="343" t="n">
        <v>1253.8</v>
      </c>
      <c r="G15" s="222">
        <f>LN(F15/F16)</f>
        <v/>
      </c>
      <c r="H15" s="223" t="n">
        <v>46427.2</v>
      </c>
      <c r="I15" s="224">
        <f>LN(H15/H16)</f>
        <v/>
      </c>
      <c r="K15" s="423" t="n">
        <v>45839</v>
      </c>
      <c r="L15" s="343" t="n">
        <v>1340.2</v>
      </c>
      <c r="M15" s="222">
        <f>LN(L15/L16)</f>
        <v/>
      </c>
      <c r="N15" s="223" t="n">
        <v>55812.15</v>
      </c>
      <c r="O15" s="224">
        <f>LN(N15/N16)</f>
        <v/>
      </c>
    </row>
    <row r="16" customFormat="1" s="343">
      <c r="B16" s="427" t="n"/>
      <c r="E16" s="423" t="n">
        <v>46096</v>
      </c>
      <c r="F16" s="343" t="n">
        <v>1300.1</v>
      </c>
      <c r="G16" s="222">
        <f>LN(F16/F17)</f>
        <v/>
      </c>
      <c r="H16" s="223" t="n">
        <v>47007.55</v>
      </c>
      <c r="I16" s="224">
        <f>LN(H16/H17)</f>
        <v/>
      </c>
      <c r="K16" s="423" t="n">
        <v>45809</v>
      </c>
      <c r="L16" s="343" t="n">
        <v>1428.1</v>
      </c>
      <c r="M16" s="222">
        <f>LN(L16/L17)</f>
        <v/>
      </c>
      <c r="N16" s="223" t="n">
        <v>54883.9</v>
      </c>
      <c r="O16" s="224">
        <f>LN(N16/N17)</f>
        <v/>
      </c>
    </row>
    <row r="17" customFormat="1" s="343">
      <c r="B17" s="427" t="n"/>
      <c r="E17" s="423" t="n">
        <v>46089</v>
      </c>
      <c r="F17" s="343" t="n">
        <v>1314.4</v>
      </c>
      <c r="G17" s="222">
        <f>LN(F17/F18)</f>
        <v/>
      </c>
      <c r="H17" s="223" t="n">
        <v>47924.15</v>
      </c>
      <c r="I17" s="224">
        <f>LN(H17/H18)</f>
        <v/>
      </c>
      <c r="K17" s="423" t="n">
        <v>45778</v>
      </c>
      <c r="L17" s="343" t="n">
        <v>1520.1</v>
      </c>
      <c r="M17" s="222">
        <f>LN(L17/L18)</f>
        <v/>
      </c>
      <c r="N17" s="223" t="n">
        <v>55283</v>
      </c>
      <c r="O17" s="224">
        <f>LN(N17/N18)</f>
        <v/>
      </c>
    </row>
    <row r="18" customFormat="1" s="343">
      <c r="B18" s="427" t="n"/>
      <c r="E18" s="423" t="n">
        <v>46082</v>
      </c>
      <c r="F18" s="343" t="n">
        <v>1389.8</v>
      </c>
      <c r="G18" s="222">
        <f>LN(F18/F19)</f>
        <v/>
      </c>
      <c r="H18" s="223" t="n">
        <v>49970.6</v>
      </c>
      <c r="I18" s="224">
        <f>LN(H18/H19)</f>
        <v/>
      </c>
      <c r="K18" s="423" t="n">
        <v>45748</v>
      </c>
      <c r="L18" s="343" t="n">
        <v>1563.9</v>
      </c>
      <c r="M18" s="222">
        <f>LN(L18/L19)</f>
        <v/>
      </c>
      <c r="N18" s="223" t="n">
        <v>56445.35</v>
      </c>
      <c r="O18" s="224">
        <f>LN(N18/N19)</f>
        <v/>
      </c>
    </row>
    <row r="19" customFormat="1" s="343">
      <c r="B19" s="427" t="n"/>
      <c r="E19" s="423" t="n">
        <v>46075</v>
      </c>
      <c r="F19" s="343" t="n">
        <v>1380.8</v>
      </c>
      <c r="G19" s="222">
        <f>LN(F19/F20)</f>
        <v/>
      </c>
      <c r="H19" s="223" t="n">
        <v>51142.2</v>
      </c>
      <c r="I19" s="224">
        <f>LN(H19/H20)</f>
        <v/>
      </c>
      <c r="K19" s="423" t="n">
        <v>45717</v>
      </c>
      <c r="L19" s="343" t="n">
        <v>1401.3</v>
      </c>
      <c r="M19" s="222">
        <f>LN(L19/L20)</f>
        <v/>
      </c>
      <c r="N19" s="223" t="n">
        <v>53589.8</v>
      </c>
      <c r="O19" s="224">
        <f>LN(N19/N20)</f>
        <v/>
      </c>
    </row>
    <row r="20" customFormat="1" s="343">
      <c r="B20" s="427" t="n"/>
      <c r="E20" s="423" t="n">
        <v>46068</v>
      </c>
      <c r="F20" s="343" t="n">
        <v>1379.3</v>
      </c>
      <c r="G20" s="222">
        <f>LN(F20/F21)</f>
        <v/>
      </c>
      <c r="H20" s="223" t="n">
        <v>51772.7</v>
      </c>
      <c r="I20" s="224">
        <f>LN(H20/H21)</f>
        <v/>
      </c>
      <c r="K20" s="423" t="n">
        <v>45689</v>
      </c>
      <c r="L20" s="343" t="n">
        <v>1284.45</v>
      </c>
      <c r="M20" s="222">
        <f>LN(L20/L21)</f>
        <v/>
      </c>
      <c r="N20" s="223" t="n">
        <v>50689</v>
      </c>
      <c r="O20" s="224">
        <f>LN(N20/N21)</f>
        <v/>
      </c>
    </row>
    <row r="21" customFormat="1" s="343">
      <c r="B21" s="427" t="n"/>
      <c r="E21" s="423" t="n">
        <v>46061</v>
      </c>
      <c r="F21" s="343" t="n">
        <v>1402.4</v>
      </c>
      <c r="G21" s="222">
        <f>LN(F21/F22)</f>
        <v/>
      </c>
      <c r="H21" s="223" t="n">
        <v>50902.15</v>
      </c>
      <c r="I21" s="224">
        <f>LN(H21/H22)</f>
        <v/>
      </c>
      <c r="K21" s="423" t="n">
        <v>45658</v>
      </c>
      <c r="L21" s="343" t="n">
        <v>1424</v>
      </c>
      <c r="M21" s="222">
        <f>LN(L21/L22)</f>
        <v/>
      </c>
      <c r="N21" s="223" t="n">
        <v>56691.95</v>
      </c>
      <c r="O21" s="224">
        <f>LN(N21/N22)</f>
        <v/>
      </c>
    </row>
    <row r="22" customFormat="1" s="343">
      <c r="B22" s="427" t="n"/>
      <c r="E22" s="423" t="n">
        <v>46054</v>
      </c>
      <c r="F22" s="343" t="n">
        <v>1377</v>
      </c>
      <c r="G22" s="222">
        <f>LN(F22/F23)</f>
        <v/>
      </c>
      <c r="H22" s="223" t="n">
        <v>51882.75</v>
      </c>
      <c r="I22" s="224">
        <f>LN(H22/H23)</f>
        <v/>
      </c>
      <c r="K22" s="423" t="n">
        <v>45627</v>
      </c>
      <c r="L22" s="343" t="n">
        <v>1625.45</v>
      </c>
      <c r="M22" s="222">
        <f>LN(L22/L23)</f>
        <v/>
      </c>
      <c r="N22" s="223" t="n">
        <v>56799.65</v>
      </c>
      <c r="O22" s="224">
        <f>LN(N22/N23)</f>
        <v/>
      </c>
    </row>
    <row r="23" customFormat="1" s="343">
      <c r="B23" s="427" t="n"/>
      <c r="E23" s="423" t="n">
        <v>46047</v>
      </c>
      <c r="F23" s="343" t="n">
        <v>1362.6</v>
      </c>
      <c r="G23" s="222">
        <f>LN(F23/F24)</f>
        <v/>
      </c>
      <c r="H23" s="223" t="n">
        <v>51215.2</v>
      </c>
      <c r="I23" s="224">
        <f>LN(H23/H24)</f>
        <v/>
      </c>
      <c r="K23" s="423" t="n">
        <v>45597</v>
      </c>
      <c r="L23" s="343" t="n">
        <v>1529.1</v>
      </c>
      <c r="M23" s="222">
        <f>LN(L23/L24)</f>
        <v/>
      </c>
      <c r="N23" s="223" t="n">
        <v>57943.7</v>
      </c>
      <c r="O23" s="224">
        <f>LN(N23/N24)</f>
        <v/>
      </c>
    </row>
    <row r="24" customFormat="1" s="343">
      <c r="B24" s="427" t="n"/>
      <c r="E24" s="423" t="n">
        <v>46040</v>
      </c>
      <c r="F24" s="343" t="n">
        <v>1333</v>
      </c>
      <c r="G24" s="222">
        <f>LN(F24/F25)</f>
        <v/>
      </c>
      <c r="H24" s="223" t="n">
        <v>51662.05</v>
      </c>
      <c r="I24" s="224">
        <f>LN(H24/H25)</f>
        <v/>
      </c>
      <c r="K24" s="423" t="n">
        <v>45566</v>
      </c>
      <c r="L24" s="343" t="n">
        <v>1449.1</v>
      </c>
      <c r="M24" s="222">
        <f>LN(L24/L25)</f>
        <v/>
      </c>
      <c r="N24" s="223" t="n">
        <v>59203</v>
      </c>
      <c r="O24" s="224">
        <f>LN(N24/N25)</f>
        <v/>
      </c>
    </row>
    <row r="25" customFormat="1" s="343">
      <c r="B25" s="427" t="n"/>
      <c r="E25" s="423" t="n">
        <v>46033</v>
      </c>
      <c r="F25" s="343" t="n">
        <v>1348.7</v>
      </c>
      <c r="G25" s="222">
        <f>LN(F25/F26)</f>
        <v/>
      </c>
      <c r="H25" s="223" t="n">
        <v>52142.5</v>
      </c>
      <c r="I25" s="224">
        <f>LN(H25/H26)</f>
        <v/>
      </c>
      <c r="K25" s="423" t="n">
        <v>45536</v>
      </c>
      <c r="L25" s="343" t="n">
        <v>1589.9</v>
      </c>
      <c r="M25" s="222">
        <f>LN(L25/L26)</f>
        <v/>
      </c>
      <c r="N25" s="223" t="n">
        <v>65540.35000000001</v>
      </c>
      <c r="O25" s="224">
        <f>LN(N25/N26)</f>
        <v/>
      </c>
    </row>
    <row r="26" customFormat="1" s="343">
      <c r="B26" s="427" t="n"/>
      <c r="E26" s="423" t="n">
        <v>46026</v>
      </c>
      <c r="F26" s="343" t="n">
        <v>1331</v>
      </c>
      <c r="G26" s="222">
        <f>LN(F26/F27)</f>
        <v/>
      </c>
      <c r="H26" s="223" t="n">
        <v>52438.15</v>
      </c>
      <c r="I26" s="224">
        <f>LN(H26/H27)</f>
        <v/>
      </c>
      <c r="K26" s="423" t="n">
        <v>45505</v>
      </c>
      <c r="L26" s="343" t="n">
        <v>1474.35</v>
      </c>
      <c r="M26" s="222">
        <f>LN(L26/L27)</f>
        <v/>
      </c>
      <c r="N26" s="223" t="n">
        <v>63059.75</v>
      </c>
      <c r="O26" s="224">
        <f>LN(N26/N27)</f>
        <v/>
      </c>
    </row>
    <row r="27" customFormat="1" s="343">
      <c r="B27" s="427" t="n"/>
      <c r="E27" s="423" t="n">
        <v>46019</v>
      </c>
      <c r="F27" s="343" t="n">
        <v>1381.6</v>
      </c>
      <c r="G27" s="222">
        <f>LN(F27/F28)</f>
        <v/>
      </c>
      <c r="H27" s="223" t="n">
        <v>53078.8</v>
      </c>
      <c r="I27" s="224">
        <f>LN(H27/H28)</f>
        <v/>
      </c>
      <c r="K27" s="423" t="n">
        <v>45474</v>
      </c>
      <c r="L27" s="343" t="n">
        <v>1413.3</v>
      </c>
      <c r="M27" s="222">
        <f>LN(L27/L28)</f>
        <v/>
      </c>
      <c r="N27" s="223" t="n">
        <v>62082.2</v>
      </c>
      <c r="O27" s="224">
        <f>LN(N27/N28)</f>
        <v/>
      </c>
    </row>
    <row r="28" customFormat="1" s="343">
      <c r="B28" s="427" t="n"/>
      <c r="E28" s="423" t="n">
        <v>46012</v>
      </c>
      <c r="F28" s="343" t="n">
        <v>1428.4</v>
      </c>
      <c r="G28" s="222">
        <f>LN(F28/F29)</f>
        <v/>
      </c>
      <c r="H28" s="223" t="n">
        <v>55132.05</v>
      </c>
      <c r="I28" s="224">
        <f>LN(H28/H29)</f>
        <v/>
      </c>
      <c r="K28" s="423" t="n">
        <v>45444</v>
      </c>
      <c r="L28" s="343" t="n">
        <v>1276.5</v>
      </c>
      <c r="M28" s="222">
        <f>LN(L28/L29)</f>
        <v/>
      </c>
      <c r="N28" s="223" t="n">
        <v>56756.85</v>
      </c>
      <c r="O28" s="224">
        <f>LN(N28/N29)</f>
        <v/>
      </c>
    </row>
    <row r="29" customFormat="1" s="343">
      <c r="B29" s="427" t="n"/>
      <c r="E29" s="423" t="n">
        <v>46005</v>
      </c>
      <c r="F29" s="343" t="n">
        <v>1406.7</v>
      </c>
      <c r="G29" s="222">
        <f>LN(F29/F30)</f>
        <v/>
      </c>
      <c r="H29" s="223" t="n">
        <v>54781.35</v>
      </c>
      <c r="I29" s="224">
        <f>LN(H29/H30)</f>
        <v/>
      </c>
      <c r="K29" s="423" t="n">
        <v>45413</v>
      </c>
      <c r="L29" s="343" t="n">
        <v>1159.4</v>
      </c>
      <c r="M29" s="222">
        <f>LN(L29/L30)</f>
        <v/>
      </c>
      <c r="N29" s="223" t="n">
        <v>54107.35</v>
      </c>
      <c r="O29" s="224">
        <f>LN(N29/N30)</f>
        <v/>
      </c>
    </row>
    <row r="30" customFormat="1" s="343">
      <c r="B30" s="427" t="n"/>
      <c r="E30" s="423" t="n">
        <v>45998</v>
      </c>
      <c r="F30" s="343" t="n">
        <v>1447.1</v>
      </c>
      <c r="G30" s="222">
        <f>LN(F30/F31)</f>
        <v/>
      </c>
      <c r="H30" s="223" t="n">
        <v>54490.8</v>
      </c>
      <c r="I30" s="224">
        <f>LN(H30/H31)</f>
        <v/>
      </c>
      <c r="K30" s="423" t="n">
        <v>45383</v>
      </c>
      <c r="L30" s="343" t="n">
        <v>1177</v>
      </c>
      <c r="M30" s="222">
        <f>LN(L30/L31)</f>
        <v/>
      </c>
      <c r="N30" s="223" t="n">
        <v>54240.6</v>
      </c>
      <c r="O30" s="224">
        <f>LN(N30/N31)</f>
        <v/>
      </c>
    </row>
    <row r="31" customFormat="1" s="343">
      <c r="B31" s="427" t="n"/>
      <c r="E31" s="423" t="n">
        <v>45991</v>
      </c>
      <c r="F31" s="343" t="n">
        <v>1455.6</v>
      </c>
      <c r="G31" s="222">
        <f>LN(F31/F32)</f>
        <v/>
      </c>
      <c r="H31" s="223" t="n">
        <v>55202.85</v>
      </c>
      <c r="I31" s="224">
        <f>LN(H31/H32)</f>
        <v/>
      </c>
      <c r="K31" s="423" t="n">
        <v>45352</v>
      </c>
      <c r="L31" s="343" t="n">
        <v>1134.25</v>
      </c>
      <c r="M31" s="222">
        <f>LN(L31/L32)</f>
        <v/>
      </c>
      <c r="N31" s="223" t="n">
        <v>53949.2</v>
      </c>
      <c r="O31" s="224">
        <f>LN(N31/N32)</f>
        <v/>
      </c>
    </row>
    <row r="32" customFormat="1" s="343">
      <c r="B32" s="427" t="n"/>
      <c r="E32" s="423" t="n">
        <v>45984</v>
      </c>
      <c r="F32" s="343" t="n">
        <v>1451.6</v>
      </c>
      <c r="G32" s="222">
        <f>LN(F32/F33)</f>
        <v/>
      </c>
      <c r="H32" s="223" t="n">
        <v>55595.8</v>
      </c>
      <c r="I32" s="224">
        <f>LN(H32/H33)</f>
        <v/>
      </c>
      <c r="K32" s="423" t="n">
        <v>45323</v>
      </c>
      <c r="L32" s="343" t="n">
        <v>1165.85</v>
      </c>
      <c r="M32" s="222">
        <f>LN(L32/L33)</f>
        <v/>
      </c>
      <c r="N32" s="223" t="n">
        <v>54015.6</v>
      </c>
      <c r="O32" s="224">
        <f>LN(N32/N33)</f>
        <v/>
      </c>
    </row>
    <row r="33" customFormat="1" s="343">
      <c r="B33" s="427" t="n"/>
      <c r="E33" s="423" t="n">
        <v>45977</v>
      </c>
      <c r="F33" s="343" t="n">
        <v>1427.1</v>
      </c>
      <c r="G33" s="222">
        <f>LN(F33/F34)</f>
        <v/>
      </c>
      <c r="H33" s="223" t="n">
        <v>55504.7</v>
      </c>
      <c r="I33" s="224">
        <f>LN(H33/H34)</f>
        <v/>
      </c>
      <c r="K33" s="423" t="n">
        <v>45292</v>
      </c>
      <c r="L33" s="343" t="n">
        <v>1086.4</v>
      </c>
      <c r="M33" s="222">
        <f>LN(L33/L34)</f>
        <v/>
      </c>
      <c r="N33" s="223" t="n">
        <v>55071.4</v>
      </c>
      <c r="O33" s="224">
        <f>LN(N33/N34)</f>
        <v/>
      </c>
    </row>
    <row r="34" customFormat="1" s="343">
      <c r="B34" s="427" t="n"/>
      <c r="E34" s="423" t="n">
        <v>45970</v>
      </c>
      <c r="F34" s="343" t="n">
        <v>1429.4</v>
      </c>
      <c r="G34" s="222">
        <f>LN(F34/F35)</f>
        <v/>
      </c>
      <c r="H34" s="223" t="n">
        <v>55560.8</v>
      </c>
      <c r="I34" s="224">
        <f>LN(H34/H35)</f>
        <v/>
      </c>
      <c r="K34" s="423" t="n">
        <v>45261</v>
      </c>
      <c r="L34" s="343" t="n">
        <v>1117.75</v>
      </c>
      <c r="M34" s="222">
        <f>LN(L34/L35)</f>
        <v/>
      </c>
      <c r="N34" s="223" t="n">
        <v>56987.2</v>
      </c>
      <c r="O34" s="224">
        <f>LN(N34/N35)</f>
        <v/>
      </c>
    </row>
    <row r="35" customFormat="1" s="343">
      <c r="B35" s="427" t="n"/>
      <c r="E35" s="423" t="n">
        <v>45963</v>
      </c>
      <c r="F35" s="343" t="n">
        <v>1429.1</v>
      </c>
      <c r="G35" s="222">
        <f>LN(F35/F36)</f>
        <v/>
      </c>
      <c r="H35" s="223" t="n">
        <v>55437.2</v>
      </c>
      <c r="I35" s="224">
        <f>LN(H35/H36)</f>
        <v/>
      </c>
      <c r="K35" s="423" t="n">
        <v>45231</v>
      </c>
      <c r="L35" s="343" t="n">
        <v>1048.85</v>
      </c>
      <c r="M35" s="222">
        <f>LN(L35/L36)</f>
        <v/>
      </c>
      <c r="N35" s="223" t="n">
        <v>53013.8</v>
      </c>
      <c r="O35" s="224">
        <f>LN(N35/N36)</f>
        <v/>
      </c>
    </row>
    <row r="36" customFormat="1" s="343">
      <c r="B36" s="427" t="n"/>
      <c r="E36" s="423" t="n">
        <v>45956</v>
      </c>
      <c r="F36" s="343" t="n">
        <v>1431.4</v>
      </c>
      <c r="G36" s="222">
        <f>LN(F36/F37)</f>
        <v/>
      </c>
      <c r="H36" s="223" t="n">
        <v>56208.5</v>
      </c>
      <c r="I36" s="224">
        <f>LN(H36/H37)</f>
        <v/>
      </c>
      <c r="K36" s="423" t="n">
        <v>45200</v>
      </c>
      <c r="L36" s="343" t="n">
        <v>1032.2</v>
      </c>
      <c r="M36" s="222">
        <f>LN(L36/L37)</f>
        <v/>
      </c>
      <c r="N36" s="223" t="n">
        <v>51262.6</v>
      </c>
      <c r="O36" s="224">
        <f>LN(N36/N37)</f>
        <v/>
      </c>
    </row>
    <row r="37" customFormat="1" s="343">
      <c r="B37" s="427" t="n"/>
      <c r="E37" s="423" t="n">
        <v>45949</v>
      </c>
      <c r="F37" s="343" t="n">
        <v>1357.4</v>
      </c>
      <c r="G37" s="222">
        <f>LN(F37/F38)</f>
        <v/>
      </c>
      <c r="H37" s="223" t="n">
        <v>56348.1</v>
      </c>
      <c r="I37" s="224">
        <f>LN(H37/H38)</f>
        <v/>
      </c>
      <c r="K37" s="423" t="n">
        <v>45170</v>
      </c>
      <c r="L37" s="343" t="n">
        <v>1007.25</v>
      </c>
      <c r="M37" s="222">
        <f>LN(L37/L38)</f>
        <v/>
      </c>
      <c r="N37" s="223" t="n">
        <v>51602.65</v>
      </c>
      <c r="O37" s="224">
        <f>LN(N37/N38)</f>
        <v/>
      </c>
    </row>
    <row r="38" customFormat="1" s="343">
      <c r="B38" s="427" t="n"/>
      <c r="E38" s="423" t="n">
        <v>45942</v>
      </c>
      <c r="F38" s="343" t="n">
        <v>1361.4</v>
      </c>
      <c r="G38" s="222">
        <f>LN(F38/F39)</f>
        <v/>
      </c>
      <c r="H38" s="223" t="n">
        <v>56616.4</v>
      </c>
      <c r="I38" s="224">
        <f>LN(H38/H39)</f>
        <v/>
      </c>
      <c r="K38" s="423" t="n">
        <v>45139</v>
      </c>
      <c r="L38" s="343" t="n">
        <v>1007.55</v>
      </c>
      <c r="M38" s="222">
        <f>LN(L38/L39)</f>
        <v/>
      </c>
      <c r="N38" s="223" t="n">
        <v>51092.65</v>
      </c>
      <c r="O38" s="224">
        <f>LN(N38/N39)</f>
        <v/>
      </c>
    </row>
    <row r="39" customFormat="1" s="343">
      <c r="B39" s="427" t="n"/>
      <c r="E39" s="423" t="n">
        <v>45935</v>
      </c>
      <c r="F39" s="343" t="n">
        <v>1337</v>
      </c>
      <c r="G39" s="222">
        <f>LN(F39/F40)</f>
        <v/>
      </c>
      <c r="H39" s="223" t="n">
        <v>54966.45</v>
      </c>
      <c r="I39" s="224">
        <f>LN(H39/H40)</f>
        <v/>
      </c>
      <c r="K39" s="423" t="n">
        <v>45108</v>
      </c>
      <c r="L39" s="343" t="n">
        <v>1015.85</v>
      </c>
      <c r="M39" s="222">
        <f>LN(L39/L40)</f>
        <v/>
      </c>
      <c r="N39" s="223" t="n">
        <v>52636.85</v>
      </c>
      <c r="O39" s="224">
        <f>LN(N39/N40)</f>
        <v/>
      </c>
    </row>
    <row r="40" customFormat="1" s="343">
      <c r="B40" s="427" t="n"/>
      <c r="E40" s="423" t="n">
        <v>45928</v>
      </c>
      <c r="F40" s="343" t="n">
        <v>1362.6</v>
      </c>
      <c r="G40" s="222">
        <f>LN(F40/F41)</f>
        <v/>
      </c>
      <c r="H40" s="223" t="n">
        <v>55170.6</v>
      </c>
      <c r="I40" s="224">
        <f>LN(H40/H41)</f>
        <v/>
      </c>
      <c r="K40" s="423" t="n">
        <v>45078</v>
      </c>
      <c r="L40" s="343" t="n">
        <v>912.2</v>
      </c>
      <c r="M40" s="222">
        <f>LN(L40/L41)</f>
        <v/>
      </c>
      <c r="N40" s="223" t="n">
        <v>52194.75</v>
      </c>
      <c r="O40" s="224">
        <f>LN(N40/N41)</f>
        <v/>
      </c>
    </row>
    <row r="41" customFormat="1" s="343">
      <c r="B41" s="427" t="n"/>
      <c r="E41" s="423" t="n">
        <v>45921</v>
      </c>
      <c r="F41" s="343" t="n">
        <v>1297.4</v>
      </c>
      <c r="G41" s="222">
        <f>LN(F41/F42)</f>
        <v/>
      </c>
      <c r="H41" s="223" t="n">
        <v>54847.55</v>
      </c>
      <c r="I41" s="224">
        <f>LN(H41/H42)</f>
        <v/>
      </c>
      <c r="K41" s="423" t="n">
        <v>45047</v>
      </c>
      <c r="L41" s="343" t="n">
        <v>883.5</v>
      </c>
      <c r="M41" s="222">
        <f>LN(L41/L42)</f>
        <v/>
      </c>
      <c r="N41" s="223" t="n">
        <v>51042.75</v>
      </c>
      <c r="O41" s="224">
        <f>LN(N41/N42)</f>
        <v/>
      </c>
    </row>
    <row r="42" customFormat="1" s="343">
      <c r="B42" s="427" t="n"/>
      <c r="E42" s="423" t="n">
        <v>45914</v>
      </c>
      <c r="F42" s="343" t="n">
        <v>1328.2</v>
      </c>
      <c r="G42" s="222">
        <f>LN(F42/F43)</f>
        <v/>
      </c>
      <c r="H42" s="223" t="n">
        <v>56273.05</v>
      </c>
      <c r="I42" s="224">
        <f>LN(H42/H43)</f>
        <v/>
      </c>
      <c r="K42" s="423" t="n">
        <v>45017</v>
      </c>
      <c r="L42" s="343" t="n">
        <v>777.15</v>
      </c>
      <c r="M42" s="222">
        <f>LN(L42/L43)</f>
        <v/>
      </c>
      <c r="N42" s="223" t="n">
        <v>47814.1</v>
      </c>
      <c r="O42" s="224">
        <f>LN(N42/N43)</f>
        <v/>
      </c>
    </row>
    <row r="43" customFormat="1" s="343">
      <c r="B43" s="427" t="n"/>
      <c r="E43" s="423" t="n">
        <v>45907</v>
      </c>
      <c r="F43" s="343" t="n">
        <v>1309.7</v>
      </c>
      <c r="G43" s="222">
        <f>LN(F43/F44)</f>
        <v/>
      </c>
      <c r="H43" s="223" t="n">
        <v>56557.15</v>
      </c>
      <c r="I43" s="224">
        <f>LN(H43/H44)</f>
        <v/>
      </c>
      <c r="K43" s="423" t="n">
        <v>44986</v>
      </c>
      <c r="L43" s="343" t="n">
        <v>756.3</v>
      </c>
      <c r="M43" s="222">
        <f>LN(L43/L44)</f>
        <v/>
      </c>
      <c r="N43" s="223" t="n">
        <v>45904.9</v>
      </c>
      <c r="O43" s="224">
        <f>LN(N43/N44)</f>
        <v/>
      </c>
    </row>
    <row r="44" customFormat="1" s="343">
      <c r="B44" s="427" t="n"/>
      <c r="E44" s="423" t="n">
        <v>45900</v>
      </c>
      <c r="F44" s="343" t="n">
        <v>1312.1</v>
      </c>
      <c r="G44" s="222">
        <f>LN(F44/F45)</f>
        <v/>
      </c>
      <c r="H44" s="223" t="n">
        <v>56292.1</v>
      </c>
      <c r="I44" s="224">
        <f>LN(H44/H45)</f>
        <v/>
      </c>
      <c r="K44" s="423" t="n">
        <v>44958</v>
      </c>
      <c r="L44" s="343" t="n">
        <v>740.6</v>
      </c>
      <c r="M44" s="222">
        <f>LN(L44/L45)</f>
        <v/>
      </c>
      <c r="N44" s="223" t="n">
        <v>44940.45</v>
      </c>
      <c r="O44" s="224">
        <f>LN(N44/N45)</f>
        <v/>
      </c>
    </row>
    <row r="45" customFormat="1" s="343">
      <c r="B45" s="427" t="n"/>
      <c r="E45" s="423" t="n">
        <v>45893</v>
      </c>
      <c r="F45" s="343" t="n">
        <v>1311</v>
      </c>
      <c r="G45" s="222">
        <f>LN(F45/F46)</f>
        <v/>
      </c>
      <c r="H45" s="223" t="n">
        <v>56141.85</v>
      </c>
      <c r="I45" s="224">
        <f>LN(H45/H46)</f>
        <v/>
      </c>
      <c r="K45" s="423" t="n">
        <v>44927</v>
      </c>
      <c r="L45" s="343" t="n">
        <v>768.65</v>
      </c>
      <c r="M45" s="222">
        <f>LN(L45/L46)</f>
        <v/>
      </c>
      <c r="N45" s="223" t="n">
        <v>44456.9</v>
      </c>
      <c r="O45" s="224">
        <f>LN(N45/N46)</f>
        <v/>
      </c>
    </row>
    <row r="46" customFormat="1" s="343">
      <c r="B46" s="427" t="n"/>
      <c r="E46" s="423" t="n">
        <v>45886</v>
      </c>
      <c r="F46" s="343" t="n">
        <v>1329.9</v>
      </c>
      <c r="G46" s="222">
        <f>LN(F46/F47)</f>
        <v/>
      </c>
      <c r="H46" s="223" t="n">
        <v>55737.45</v>
      </c>
      <c r="I46" s="224">
        <f>LN(H46/H47)</f>
        <v/>
      </c>
      <c r="K46" s="423" t="n">
        <v>44896</v>
      </c>
      <c r="L46" s="343" t="n">
        <v>877.55</v>
      </c>
      <c r="M46" s="222">
        <f>LN(L46/L47)</f>
        <v/>
      </c>
      <c r="N46" s="223" t="n">
        <v>44171.45</v>
      </c>
      <c r="O46" s="224">
        <f>LN(N46/N47)</f>
        <v/>
      </c>
    </row>
    <row r="47" customFormat="1" s="343">
      <c r="B47" s="427" t="n"/>
      <c r="E47" s="423" t="n">
        <v>45879</v>
      </c>
      <c r="F47" s="343" t="n">
        <v>1319.3</v>
      </c>
      <c r="G47" s="222">
        <f>LN(F47/F48)</f>
        <v/>
      </c>
      <c r="H47" s="223" t="n">
        <v>54656.3</v>
      </c>
      <c r="I47" s="224">
        <f>LN(H47/H48)</f>
        <v/>
      </c>
      <c r="K47" s="423" t="n">
        <v>44866</v>
      </c>
      <c r="L47" s="343" t="n">
        <v>932.3</v>
      </c>
      <c r="M47" s="222">
        <f>LN(L47/L48)</f>
        <v/>
      </c>
      <c r="N47" s="223" t="n">
        <v>45536.55</v>
      </c>
      <c r="O47" s="224">
        <f>LN(N47/N48)</f>
        <v/>
      </c>
    </row>
    <row r="48" customFormat="1" s="343">
      <c r="B48" s="427" t="n"/>
      <c r="E48" s="423" t="n">
        <v>45872</v>
      </c>
      <c r="F48" s="343" t="n">
        <v>1291.5</v>
      </c>
      <c r="G48" s="222">
        <f>LN(F48/F49)</f>
        <v/>
      </c>
      <c r="H48" s="223" t="n">
        <v>54900.95</v>
      </c>
      <c r="I48" s="224">
        <f>LN(H48/H49)</f>
        <v/>
      </c>
      <c r="K48" s="423" t="n">
        <v>44835</v>
      </c>
      <c r="L48" s="343" t="n">
        <v>896.35</v>
      </c>
      <c r="M48" s="222">
        <f>LN(L48/L49)</f>
        <v/>
      </c>
      <c r="N48" s="223" t="n">
        <v>44296.3</v>
      </c>
      <c r="O48" s="224">
        <f>LN(N48/N49)</f>
        <v/>
      </c>
    </row>
    <row r="49" customFormat="1" s="343">
      <c r="B49" s="427" t="n"/>
      <c r="E49" s="423" t="n">
        <v>45865</v>
      </c>
      <c r="F49" s="343" t="n">
        <v>1322.4</v>
      </c>
      <c r="G49" s="222">
        <f>LN(F49/F50)</f>
        <v/>
      </c>
      <c r="H49" s="223" t="n">
        <v>56197.05</v>
      </c>
      <c r="I49" s="224">
        <f>LN(H49/H50)</f>
        <v/>
      </c>
      <c r="K49" s="423" t="n">
        <v>44805</v>
      </c>
      <c r="L49" s="343" t="n">
        <v>842.3</v>
      </c>
      <c r="M49" s="222">
        <f>LN(L49/L50)</f>
        <v/>
      </c>
      <c r="N49" s="223" t="n">
        <v>44405.65</v>
      </c>
      <c r="O49" s="224">
        <f>LN(N49/N50)</f>
        <v/>
      </c>
    </row>
    <row r="50" customFormat="1" s="343">
      <c r="B50" s="427" t="n"/>
      <c r="E50" s="423" t="n">
        <v>45858</v>
      </c>
      <c r="F50" s="343" t="n">
        <v>1309.6</v>
      </c>
      <c r="G50" s="222">
        <f>LN(F50/F51)</f>
        <v/>
      </c>
      <c r="H50" s="223" t="n">
        <v>54579.95</v>
      </c>
      <c r="I50" s="224">
        <f>LN(H50/H51)</f>
        <v/>
      </c>
      <c r="K50" s="423" t="n">
        <v>44774</v>
      </c>
      <c r="L50" s="343" t="n">
        <v>811.85</v>
      </c>
      <c r="M50" s="222">
        <f>LN(L50/L51)</f>
        <v/>
      </c>
      <c r="N50" s="223" t="n">
        <v>43821.15</v>
      </c>
      <c r="O50" s="224">
        <f>LN(N50/N51)</f>
        <v/>
      </c>
    </row>
    <row r="51" customFormat="1" s="343">
      <c r="B51" s="427" t="n"/>
      <c r="E51" s="423" t="n">
        <v>45851</v>
      </c>
      <c r="F51" s="343" t="n">
        <v>1362.3</v>
      </c>
      <c r="G51" s="222">
        <f>LN(F51/F52)</f>
        <v/>
      </c>
      <c r="H51" s="223" t="n">
        <v>56506.9</v>
      </c>
      <c r="I51" s="224">
        <f>LN(H51/H52)</f>
        <v/>
      </c>
      <c r="K51" s="423" t="n">
        <v>44743</v>
      </c>
      <c r="L51" s="343" t="n">
        <v>779</v>
      </c>
      <c r="M51" s="222">
        <f>LN(L51/L52)</f>
        <v/>
      </c>
      <c r="N51" s="223" t="n">
        <v>42487.4</v>
      </c>
      <c r="O51" s="224">
        <f>LN(N51/N52)</f>
        <v/>
      </c>
    </row>
    <row r="52" customFormat="1" s="343">
      <c r="B52" s="427" t="n"/>
      <c r="E52" s="423" t="n">
        <v>45844</v>
      </c>
      <c r="F52" s="343" t="n">
        <v>1357.6</v>
      </c>
      <c r="G52" s="222">
        <f>LN(F52/F53)</f>
        <v/>
      </c>
      <c r="H52" s="223" t="n">
        <v>55910.25</v>
      </c>
      <c r="I52" s="224">
        <f>LN(H52/H53)</f>
        <v/>
      </c>
      <c r="K52" s="423" t="n">
        <v>44713</v>
      </c>
      <c r="L52" s="343" t="n">
        <v>759.75</v>
      </c>
      <c r="M52" s="222">
        <f>LN(L52/L53)</f>
        <v/>
      </c>
      <c r="N52" s="223" t="n">
        <v>37664.55</v>
      </c>
      <c r="O52" s="224">
        <f>LN(N52/N53)</f>
        <v/>
      </c>
    </row>
    <row r="53" customFormat="1" s="343">
      <c r="B53" s="427" t="n"/>
      <c r="E53" s="423" t="n">
        <v>45837</v>
      </c>
      <c r="F53" s="343" t="n">
        <v>1378.2</v>
      </c>
      <c r="G53" s="222">
        <f>LN(F53/F54)</f>
        <v/>
      </c>
      <c r="H53" s="223" t="n">
        <v>54735.6</v>
      </c>
      <c r="I53" s="224">
        <f>LN(H53/H54)</f>
        <v/>
      </c>
      <c r="K53" s="423" t="n">
        <v>44682</v>
      </c>
      <c r="L53" s="343" t="n">
        <v>809.4</v>
      </c>
      <c r="M53" s="222">
        <f>LN(L53/L54)</f>
        <v/>
      </c>
      <c r="N53" s="223" t="n">
        <v>38713.45</v>
      </c>
      <c r="O53" s="224">
        <f>LN(N53/N54)</f>
        <v/>
      </c>
    </row>
    <row r="54" customFormat="1" s="343">
      <c r="B54" s="427" t="n"/>
      <c r="E54" s="423" t="n">
        <v>45830</v>
      </c>
      <c r="F54" s="343" t="n">
        <v>1442.2</v>
      </c>
      <c r="G54" s="222">
        <f>LN(F54/F55)</f>
        <v/>
      </c>
      <c r="H54" s="223" t="n">
        <v>55109</v>
      </c>
      <c r="I54" s="224">
        <f>LN(H54/H55)</f>
        <v/>
      </c>
      <c r="K54" s="423" t="n">
        <v>44652</v>
      </c>
      <c r="L54" s="343" t="n">
        <v>862.85</v>
      </c>
      <c r="M54" s="222">
        <f>LN(L54/L55)</f>
        <v/>
      </c>
      <c r="N54" s="223" t="n">
        <v>38204.15</v>
      </c>
      <c r="O54" s="224">
        <f>LN(N54/N55)</f>
        <v/>
      </c>
    </row>
    <row r="55" customFormat="1" s="343">
      <c r="B55" s="427" t="n"/>
      <c r="E55" s="423" t="n">
        <v>45823</v>
      </c>
      <c r="F55" s="343" t="n">
        <v>1458.9</v>
      </c>
      <c r="G55" s="222">
        <f>LN(F55/F56)</f>
        <v/>
      </c>
      <c r="H55" s="223" t="n">
        <v>54630.95</v>
      </c>
      <c r="I55" s="224">
        <f>LN(H55/H56)</f>
        <v/>
      </c>
      <c r="K55" s="423" t="n">
        <v>44621</v>
      </c>
      <c r="L55" s="343" t="n">
        <v>888.35</v>
      </c>
      <c r="M55" s="222">
        <f>LN(L55/L56)</f>
        <v/>
      </c>
      <c r="N55" s="223" t="n">
        <v>36287.75</v>
      </c>
      <c r="O55" s="224">
        <f>LN(N55/N56)</f>
        <v/>
      </c>
    </row>
    <row r="56" customFormat="1" s="343">
      <c r="B56" s="427" t="n"/>
      <c r="E56" s="423" t="n">
        <v>45816</v>
      </c>
      <c r="F56" s="343" t="n">
        <v>1453.1</v>
      </c>
      <c r="G56" s="222">
        <f>LN(F56/F57)</f>
        <v/>
      </c>
      <c r="H56" s="223" t="n">
        <v>54527.15</v>
      </c>
      <c r="I56" s="224">
        <f>LN(H56/H57)</f>
        <v/>
      </c>
      <c r="K56" s="423" t="n">
        <v>44593</v>
      </c>
      <c r="L56" s="343" t="n">
        <v>885.15</v>
      </c>
      <c r="M56" s="222">
        <f>LN(L56/L57)</f>
        <v/>
      </c>
      <c r="N56" s="223" t="n">
        <v>35515.4</v>
      </c>
      <c r="O56" s="224">
        <f>LN(N56/N57)</f>
        <v/>
      </c>
    </row>
    <row r="57" customFormat="1" s="343">
      <c r="B57" s="427" t="n"/>
      <c r="E57" s="423" t="n">
        <v>45809</v>
      </c>
      <c r="F57" s="343" t="n">
        <v>1593.4</v>
      </c>
      <c r="G57" s="222">
        <f>LN(F57/F58)</f>
        <v/>
      </c>
      <c r="H57" s="223" t="n">
        <v>55802.7</v>
      </c>
      <c r="I57" s="224">
        <f>LN(H57/H58)</f>
        <v/>
      </c>
      <c r="K57" s="423" t="n">
        <v>44562</v>
      </c>
      <c r="L57" s="343" t="n">
        <v>866.4</v>
      </c>
      <c r="M57" s="222">
        <f>LN(L57/L58)</f>
        <v/>
      </c>
      <c r="N57" s="223" t="n">
        <v>36467.25</v>
      </c>
      <c r="O57" s="224">
        <f>LN(N57/N58)</f>
        <v/>
      </c>
    </row>
    <row r="58" customFormat="1" s="343">
      <c r="B58" s="427" t="n"/>
      <c r="E58" s="423" t="n">
        <v>45802</v>
      </c>
      <c r="F58" s="343" t="n">
        <v>1520.1</v>
      </c>
      <c r="G58" s="222">
        <f>LN(F58/F59)</f>
        <v/>
      </c>
      <c r="H58" s="223" t="n">
        <v>55283</v>
      </c>
      <c r="I58" s="224">
        <f>LN(H58/H59)</f>
        <v/>
      </c>
      <c r="K58" s="423" t="n">
        <v>44531</v>
      </c>
      <c r="L58" s="343" t="n">
        <v>898.25</v>
      </c>
      <c r="M58" s="222">
        <f>LN(L58/L59)</f>
        <v/>
      </c>
      <c r="N58" s="223" t="n">
        <v>37579.95</v>
      </c>
      <c r="O58" s="224">
        <f>LN(N58/N59)</f>
        <v/>
      </c>
    </row>
    <row r="59" customFormat="1" s="343">
      <c r="B59" s="427" t="n"/>
      <c r="E59" s="423" t="n">
        <v>45795</v>
      </c>
      <c r="F59" s="343" t="n">
        <v>1578.9</v>
      </c>
      <c r="G59" s="222">
        <f>LN(F59/F60)</f>
        <v/>
      </c>
      <c r="H59" s="223" t="n">
        <v>56502.05</v>
      </c>
      <c r="I59" s="224">
        <f>LN(H59/H60)</f>
        <v/>
      </c>
      <c r="K59" s="423" t="n">
        <v>44501</v>
      </c>
      <c r="L59" s="343" t="n">
        <v>882.95</v>
      </c>
      <c r="M59" s="222">
        <f>LN(L59/L60)</f>
        <v/>
      </c>
      <c r="N59" s="223" t="n">
        <v>37386.95</v>
      </c>
      <c r="O59" s="224">
        <f>LN(N59/N60)</f>
        <v/>
      </c>
    </row>
    <row r="60" customFormat="1" s="343">
      <c r="B60" s="427" t="n"/>
      <c r="E60" s="423" t="n">
        <v>45788</v>
      </c>
      <c r="F60" s="343" t="n">
        <v>1540.3</v>
      </c>
      <c r="G60" s="222">
        <f>LN(F60/F61)</f>
        <v/>
      </c>
      <c r="H60" s="223" t="n">
        <v>57061.8</v>
      </c>
      <c r="I60" s="224">
        <f>LN(H60/H61)</f>
        <v/>
      </c>
      <c r="K60" s="423" t="n">
        <v>44470</v>
      </c>
      <c r="L60" s="343" t="n">
        <v>947.35</v>
      </c>
      <c r="M60" s="222">
        <f>LN(L60/L61)</f>
        <v/>
      </c>
      <c r="N60" s="223" t="n">
        <v>38222.1</v>
      </c>
      <c r="O60" s="224">
        <f>LN(N60/N61)</f>
        <v/>
      </c>
    </row>
    <row r="61" customFormat="1" s="343">
      <c r="B61" s="427" t="n"/>
      <c r="E61" s="423" t="n">
        <v>45781</v>
      </c>
      <c r="F61" s="343" t="n">
        <v>1531.2</v>
      </c>
      <c r="G61" s="222">
        <f>LN(F61/F62)</f>
        <v/>
      </c>
      <c r="H61" s="223" t="n">
        <v>55633</v>
      </c>
      <c r="I61" s="224">
        <f>LN(H61/H62)</f>
        <v/>
      </c>
      <c r="K61" s="423" t="n">
        <v>44440</v>
      </c>
      <c r="L61" s="343" t="n">
        <v>853.1</v>
      </c>
      <c r="M61" s="222">
        <f>LN(L61/L62)</f>
        <v/>
      </c>
      <c r="N61" s="223" t="n">
        <v>40426.55</v>
      </c>
      <c r="O61" s="224">
        <f>LN(N61/N62)</f>
        <v/>
      </c>
    </row>
    <row r="62" customFormat="1" s="343">
      <c r="B62" s="427" t="n"/>
      <c r="E62" s="423" t="n">
        <v>45774</v>
      </c>
      <c r="F62" s="343" t="n">
        <v>1555.6</v>
      </c>
      <c r="G62" s="222">
        <f>LN(F62/F63)</f>
        <v/>
      </c>
      <c r="H62" s="223" t="n">
        <v>56252.25</v>
      </c>
      <c r="I62" s="224">
        <f>LN(H62/H63)</f>
        <v/>
      </c>
      <c r="K62" s="423" t="n">
        <v>44409</v>
      </c>
      <c r="L62" s="343" t="n">
        <v>715.15</v>
      </c>
      <c r="M62" s="222">
        <f>LN(L62/L63)</f>
        <v/>
      </c>
      <c r="N62" s="223" t="n">
        <v>39529.7</v>
      </c>
      <c r="O62" s="224">
        <f>LN(N62/N63)</f>
        <v/>
      </c>
    </row>
    <row r="63" customFormat="1" s="343">
      <c r="B63" s="427" t="n"/>
      <c r="E63" s="423" t="n">
        <v>45767</v>
      </c>
      <c r="F63" s="343" t="n">
        <v>1547.4</v>
      </c>
      <c r="G63" s="222">
        <f>LN(F63/F64)</f>
        <v/>
      </c>
      <c r="H63" s="223" t="n">
        <v>56532.35</v>
      </c>
      <c r="I63" s="224">
        <f>LN(H63/H64)</f>
        <v/>
      </c>
      <c r="K63" s="423" t="n">
        <v>44378</v>
      </c>
      <c r="L63" s="343" t="n">
        <v>640.75</v>
      </c>
      <c r="M63" s="222">
        <f>LN(L63/L64)</f>
        <v/>
      </c>
      <c r="N63" s="223" t="n">
        <v>36051.9</v>
      </c>
      <c r="O63" s="224">
        <f>LN(N63/N64)</f>
        <v/>
      </c>
    </row>
    <row r="64" customFormat="1" s="343">
      <c r="B64" s="427" t="n"/>
      <c r="E64" s="423" t="n">
        <v>45760</v>
      </c>
      <c r="F64" s="343" t="n">
        <v>1517.8</v>
      </c>
      <c r="G64" s="222">
        <f>LN(F64/F65)</f>
        <v/>
      </c>
      <c r="H64" s="223" t="n">
        <v>56674.2</v>
      </c>
      <c r="I64" s="224">
        <f>LN(H64/H65)</f>
        <v/>
      </c>
      <c r="K64" s="423" t="n">
        <v>44348</v>
      </c>
      <c r="L64" s="343" t="n">
        <v>661.65</v>
      </c>
      <c r="M64" s="222">
        <f>LN(L64/L65)</f>
        <v/>
      </c>
      <c r="N64" s="223" t="n">
        <v>36093.2</v>
      </c>
      <c r="O64" s="224">
        <f>LN(N64/N65)</f>
        <v/>
      </c>
    </row>
    <row r="65" customFormat="1" s="343">
      <c r="B65" s="427" t="n"/>
      <c r="E65" s="423" t="n">
        <v>45753</v>
      </c>
      <c r="F65" s="343" t="n">
        <v>1476.9</v>
      </c>
      <c r="G65" s="222">
        <f>LN(F65/F66)</f>
        <v/>
      </c>
      <c r="H65" s="223" t="n">
        <v>55741.1</v>
      </c>
      <c r="I65" s="224">
        <f>LN(H65/H66)</f>
        <v/>
      </c>
      <c r="K65" s="423" t="n">
        <v>44317</v>
      </c>
      <c r="L65" s="343" t="n">
        <v>612.45</v>
      </c>
      <c r="M65" s="222">
        <f>LN(L65/L66)</f>
        <v/>
      </c>
      <c r="N65" s="223" t="n">
        <v>35243.1</v>
      </c>
      <c r="O65" s="224">
        <f>LN(N65/N66)</f>
        <v/>
      </c>
    </row>
    <row r="66" customFormat="1" s="343">
      <c r="B66" s="427" t="n"/>
      <c r="E66" s="423" t="n">
        <v>45746</v>
      </c>
      <c r="F66" s="343" t="n">
        <v>1427.35</v>
      </c>
      <c r="G66" s="222">
        <f>LN(F66/F67)</f>
        <v/>
      </c>
      <c r="H66" s="223" t="n">
        <v>53830.7</v>
      </c>
      <c r="I66" s="224">
        <f>LN(H66/H67)</f>
        <v/>
      </c>
      <c r="K66" s="423" t="n">
        <v>44287</v>
      </c>
      <c r="L66" s="343" t="n">
        <v>519.55</v>
      </c>
      <c r="M66" s="222" t="n"/>
      <c r="N66" s="223" t="n">
        <v>33623.45</v>
      </c>
      <c r="O66" s="224" t="n"/>
    </row>
    <row r="67" customFormat="1" s="343">
      <c r="B67" s="427" t="n"/>
      <c r="E67" s="423" t="n">
        <v>45739</v>
      </c>
      <c r="F67" s="343" t="n">
        <v>1401.3</v>
      </c>
      <c r="G67" s="222">
        <f>LN(F67/F68)</f>
        <v/>
      </c>
      <c r="H67" s="223" t="n">
        <v>53589.8</v>
      </c>
      <c r="I67" s="224">
        <f>LN(H67/H68)</f>
        <v/>
      </c>
    </row>
    <row r="68" customFormat="1" s="343">
      <c r="B68" s="427" t="n"/>
      <c r="E68" s="423" t="n">
        <v>45732</v>
      </c>
      <c r="F68" s="343" t="n">
        <v>1391.6</v>
      </c>
      <c r="G68" s="222">
        <f>LN(F68/F69)</f>
        <v/>
      </c>
      <c r="H68" s="223" t="n">
        <v>52986.05</v>
      </c>
      <c r="I68" s="224">
        <f>LN(H68/H69)</f>
        <v/>
      </c>
    </row>
    <row r="69" customFormat="1" s="343">
      <c r="B69" s="427" t="n"/>
      <c r="E69" s="423" t="n">
        <v>45725</v>
      </c>
      <c r="F69" s="343" t="n">
        <v>1353.7</v>
      </c>
      <c r="G69" s="222">
        <f>LN(F69/F70)</f>
        <v/>
      </c>
      <c r="H69" s="223" t="n">
        <v>51879.25</v>
      </c>
      <c r="I69" s="224">
        <f>LN(H69/H70)</f>
        <v/>
      </c>
    </row>
    <row r="70" customFormat="1" s="343">
      <c r="B70" s="427" t="n"/>
      <c r="E70" s="423" t="n">
        <v>45718</v>
      </c>
      <c r="F70" s="343" t="n">
        <v>1327.85</v>
      </c>
      <c r="G70" s="222">
        <f>LN(F70/F71)</f>
        <v/>
      </c>
      <c r="H70" s="223" t="n">
        <v>51891.8</v>
      </c>
      <c r="I70" s="224">
        <f>LN(H70/H71)</f>
        <v/>
      </c>
    </row>
    <row r="71" customFormat="1" s="343">
      <c r="B71" s="427" t="n"/>
      <c r="E71" s="423" t="n">
        <v>45711</v>
      </c>
      <c r="F71" s="343" t="n">
        <v>1284.45</v>
      </c>
      <c r="G71" s="222">
        <f>LN(F71/F72)</f>
        <v/>
      </c>
      <c r="H71" s="223" t="n">
        <v>50689</v>
      </c>
      <c r="I71" s="224">
        <f>LN(H71/H72)</f>
        <v/>
      </c>
    </row>
    <row r="72" customFormat="1" s="343">
      <c r="B72" s="427" t="n"/>
      <c r="E72" s="423" t="n">
        <v>45704</v>
      </c>
      <c r="F72" s="343" t="n">
        <v>1306.5</v>
      </c>
      <c r="G72" s="222">
        <f>LN(F72/F73)</f>
        <v/>
      </c>
      <c r="H72" s="223" t="n">
        <v>52098.15</v>
      </c>
      <c r="I72" s="224">
        <f>LN(H72/H73)</f>
        <v/>
      </c>
    </row>
    <row r="73" customFormat="1" s="343">
      <c r="B73" s="427" t="n"/>
      <c r="E73" s="423" t="n">
        <v>45697</v>
      </c>
      <c r="F73" s="343" t="n">
        <v>1364.4</v>
      </c>
      <c r="G73" s="222">
        <f>LN(F73/F74)</f>
        <v/>
      </c>
      <c r="H73" s="223" t="n">
        <v>53138.55</v>
      </c>
      <c r="I73" s="224">
        <f>LN(H73/H74)</f>
        <v/>
      </c>
    </row>
    <row r="74" customFormat="1" s="343">
      <c r="B74" s="427" t="n"/>
      <c r="E74" s="423" t="n">
        <v>45690</v>
      </c>
      <c r="F74" s="343" t="n">
        <v>1427.5</v>
      </c>
      <c r="G74" s="222">
        <f>LN(F74/F75)</f>
        <v/>
      </c>
      <c r="H74" s="223" t="n">
        <v>55113.3</v>
      </c>
      <c r="I74" s="224">
        <f>LN(H74/H75)</f>
        <v/>
      </c>
    </row>
    <row r="75" customFormat="1" s="343">
      <c r="B75" s="427" t="n"/>
      <c r="E75" s="423" t="n">
        <v>45683</v>
      </c>
      <c r="F75" s="343" t="n">
        <v>1424</v>
      </c>
      <c r="G75" s="222">
        <f>LN(F75/F76)</f>
        <v/>
      </c>
      <c r="H75" s="223" t="n">
        <v>56691.95</v>
      </c>
      <c r="I75" s="224">
        <f>LN(H75/H76)</f>
        <v/>
      </c>
    </row>
    <row r="76" customFormat="1" s="343">
      <c r="B76" s="427" t="n"/>
      <c r="E76" s="423" t="n">
        <v>45676</v>
      </c>
      <c r="F76" s="343" t="n">
        <v>1469.75</v>
      </c>
      <c r="G76" s="222">
        <f>LN(F76/F77)</f>
        <v/>
      </c>
      <c r="H76" s="223" t="n">
        <v>56069.35</v>
      </c>
      <c r="I76" s="224">
        <f>LN(H76/H77)</f>
        <v/>
      </c>
    </row>
    <row r="77" customFormat="1" s="343">
      <c r="B77" s="427" t="n"/>
      <c r="E77" s="423" t="n">
        <v>45669</v>
      </c>
      <c r="F77" s="343" t="n">
        <v>1427.55</v>
      </c>
      <c r="G77" s="222">
        <f>LN(F77/F78)</f>
        <v/>
      </c>
      <c r="H77" s="223" t="n">
        <v>55800.85</v>
      </c>
      <c r="I77" s="224">
        <f>LN(H77/H78)</f>
        <v/>
      </c>
    </row>
    <row r="78" customFormat="1" s="343">
      <c r="B78" s="427" t="n"/>
      <c r="E78" s="423" t="n">
        <v>45662</v>
      </c>
      <c r="F78" s="343" t="n">
        <v>1539.15</v>
      </c>
      <c r="G78" s="222">
        <f>LN(F78/F79)</f>
        <v/>
      </c>
      <c r="H78" s="223" t="n">
        <v>57117.7</v>
      </c>
      <c r="I78" s="224">
        <f>LN(H78/H79)</f>
        <v/>
      </c>
    </row>
    <row r="79" customFormat="1" s="343">
      <c r="B79" s="427" t="n"/>
      <c r="E79" s="423" t="n">
        <v>45655</v>
      </c>
      <c r="F79" s="343" t="n">
        <v>1682.45</v>
      </c>
      <c r="G79" s="222">
        <f>LN(F79/F80)</f>
        <v/>
      </c>
      <c r="H79" s="223" t="n">
        <v>57817</v>
      </c>
      <c r="I79" s="224">
        <f>LN(H79/H80)</f>
        <v/>
      </c>
    </row>
    <row r="80" customFormat="1" s="343">
      <c r="B80" s="427" t="n"/>
      <c r="E80" s="423" t="n">
        <v>45648</v>
      </c>
      <c r="F80" s="343" t="n">
        <v>1579.4</v>
      </c>
      <c r="G80" s="222">
        <f>LN(F80/F81)</f>
        <v/>
      </c>
      <c r="H80" s="223" t="n">
        <v>56444.25</v>
      </c>
      <c r="I80" s="224">
        <f>LN(H80/H81)</f>
        <v/>
      </c>
    </row>
    <row r="81" customFormat="1" s="343">
      <c r="B81" s="427" t="n"/>
      <c r="E81" s="423" t="n">
        <v>45641</v>
      </c>
      <c r="F81" s="343" t="n">
        <v>1544.8</v>
      </c>
      <c r="G81" s="222">
        <f>LN(F81/F82)</f>
        <v/>
      </c>
      <c r="H81" s="223" t="n">
        <v>55600.8</v>
      </c>
      <c r="I81" s="224">
        <f>LN(H81/H82)</f>
        <v/>
      </c>
    </row>
    <row r="82" customFormat="1" s="343">
      <c r="B82" s="427" t="n"/>
      <c r="E82" s="423" t="n">
        <v>45634</v>
      </c>
      <c r="F82" s="343" t="n">
        <v>1512.05</v>
      </c>
      <c r="G82" s="222">
        <f>LN(F82/F83)</f>
        <v/>
      </c>
      <c r="H82" s="223" t="n">
        <v>56869.4</v>
      </c>
      <c r="I82" s="224">
        <f>LN(H82/H83)</f>
        <v/>
      </c>
    </row>
    <row r="83" customFormat="1" s="343">
      <c r="B83" s="427" t="n"/>
      <c r="E83" s="423" t="n">
        <v>45627</v>
      </c>
      <c r="F83" s="343" t="n">
        <v>1516.6</v>
      </c>
      <c r="G83" s="222">
        <f>LN(F83/F84)</f>
        <v/>
      </c>
      <c r="H83" s="223" t="n">
        <v>57744.3</v>
      </c>
      <c r="I83" s="224">
        <f>LN(H83/H84)</f>
        <v/>
      </c>
    </row>
    <row r="84" customFormat="1" s="343">
      <c r="B84" s="427" t="n"/>
      <c r="E84" s="423" t="n">
        <v>45620</v>
      </c>
      <c r="F84" s="343" t="n">
        <v>1529.1</v>
      </c>
      <c r="G84" s="222">
        <f>LN(F84/F85)</f>
        <v/>
      </c>
      <c r="H84" s="223" t="n">
        <v>57943.7</v>
      </c>
      <c r="I84" s="224">
        <f>LN(H84/H85)</f>
        <v/>
      </c>
    </row>
    <row r="85" customFormat="1" s="343">
      <c r="B85" s="427" t="n"/>
      <c r="E85" s="423" t="n">
        <v>45613</v>
      </c>
      <c r="F85" s="343" t="n">
        <v>1500.15</v>
      </c>
      <c r="G85" s="222">
        <f>LN(F85/F86)</f>
        <v/>
      </c>
      <c r="H85" s="223" t="n">
        <v>56956.45</v>
      </c>
      <c r="I85" s="224">
        <f>LN(H85/H86)</f>
        <v/>
      </c>
    </row>
    <row r="86" customFormat="1" s="343">
      <c r="B86" s="427" t="n"/>
      <c r="E86" s="423" t="n">
        <v>45606</v>
      </c>
      <c r="F86" s="343" t="n">
        <v>1442.35</v>
      </c>
      <c r="G86" s="222">
        <f>LN(F86/F87)</f>
        <v/>
      </c>
      <c r="H86" s="223" t="n">
        <v>55782.7</v>
      </c>
      <c r="I86" s="224">
        <f>LN(H86/H87)</f>
        <v/>
      </c>
    </row>
    <row r="87" customFormat="1" s="343">
      <c r="B87" s="427" t="n"/>
      <c r="E87" s="423" t="n">
        <v>45599</v>
      </c>
      <c r="F87" s="343" t="n">
        <v>1448.65</v>
      </c>
      <c r="G87" s="222">
        <f>LN(F87/F88)</f>
        <v/>
      </c>
      <c r="H87" s="223" t="n">
        <v>58359.4</v>
      </c>
      <c r="I87" s="224">
        <f>LN(H87/H88)</f>
        <v/>
      </c>
    </row>
    <row r="88" customFormat="1" s="343">
      <c r="B88" s="427" t="n"/>
      <c r="E88" s="423" t="n">
        <v>45592</v>
      </c>
      <c r="F88" s="343" t="n">
        <v>1453.15</v>
      </c>
      <c r="G88" s="222">
        <f>LN(F88/F89)</f>
        <v/>
      </c>
      <c r="H88" s="223" t="n">
        <v>59433.2</v>
      </c>
      <c r="I88" s="224">
        <f>LN(H88/H89)</f>
        <v/>
      </c>
    </row>
    <row r="89" customFormat="1" s="343">
      <c r="B89" s="427" t="n"/>
      <c r="E89" s="423" t="n">
        <v>45585</v>
      </c>
      <c r="F89" s="343" t="n">
        <v>1480.2</v>
      </c>
      <c r="G89" s="222">
        <f>LN(F89/F90)</f>
        <v/>
      </c>
      <c r="H89" s="223" t="n">
        <v>58908.5</v>
      </c>
      <c r="I89" s="224">
        <f>LN(H89/H90)</f>
        <v/>
      </c>
    </row>
    <row r="90" customFormat="1" s="343">
      <c r="B90" s="427" t="n"/>
      <c r="E90" s="423" t="n">
        <v>45578</v>
      </c>
      <c r="F90" s="343" t="n">
        <v>1519.25</v>
      </c>
      <c r="G90" s="222">
        <f>LN(F90/F91)</f>
        <v/>
      </c>
      <c r="H90" s="223" t="n">
        <v>61042.1</v>
      </c>
      <c r="I90" s="224">
        <f>LN(H90/H91)</f>
        <v/>
      </c>
    </row>
    <row r="91" customFormat="1" s="343">
      <c r="B91" s="427" t="n"/>
      <c r="E91" s="423" t="n">
        <v>45571</v>
      </c>
      <c r="F91" s="343" t="n">
        <v>1519.55</v>
      </c>
      <c r="G91" s="222">
        <f>LN(F91/F92)</f>
        <v/>
      </c>
      <c r="H91" s="223" t="n">
        <v>62080.2</v>
      </c>
      <c r="I91" s="224">
        <f>LN(H91/H92)</f>
        <v/>
      </c>
    </row>
    <row r="92" customFormat="1" s="343">
      <c r="B92" s="427" t="n"/>
      <c r="E92" s="423" t="n">
        <v>45564</v>
      </c>
      <c r="F92" s="343" t="n">
        <v>1531.35</v>
      </c>
      <c r="G92" s="222">
        <f>LN(F92/F93)</f>
        <v/>
      </c>
      <c r="H92" s="223" t="n">
        <v>63380.05</v>
      </c>
      <c r="I92" s="224">
        <f>LN(H92/H93)</f>
        <v/>
      </c>
    </row>
    <row r="93" customFormat="1" s="343">
      <c r="B93" s="427" t="n"/>
      <c r="E93" s="423" t="n">
        <v>45557</v>
      </c>
      <c r="F93" s="343" t="n">
        <v>1596.6</v>
      </c>
      <c r="G93" s="222">
        <f>LN(F93/F94)</f>
        <v/>
      </c>
      <c r="H93" s="223" t="n">
        <v>65845.45</v>
      </c>
      <c r="I93" s="224">
        <f>LN(H93/H94)</f>
        <v/>
      </c>
    </row>
    <row r="94" customFormat="1" s="343">
      <c r="B94" s="427" t="n"/>
      <c r="E94" s="423" t="n">
        <v>45550</v>
      </c>
      <c r="F94" s="343" t="n">
        <v>1574.15</v>
      </c>
      <c r="G94" s="222">
        <f>LN(F94/F95)</f>
        <v/>
      </c>
      <c r="H94" s="223" t="n">
        <v>65870.8</v>
      </c>
      <c r="I94" s="224">
        <f>LN(H94/H95)</f>
        <v/>
      </c>
    </row>
    <row r="95" customFormat="1" s="343">
      <c r="B95" s="427" t="n"/>
      <c r="E95" s="423" t="n">
        <v>45543</v>
      </c>
      <c r="F95" s="343" t="n">
        <v>1523.35</v>
      </c>
      <c r="G95" s="222">
        <f>LN(F95/F96)</f>
        <v/>
      </c>
      <c r="H95" s="223" t="n">
        <v>65062.8</v>
      </c>
      <c r="I95" s="224">
        <f>LN(H95/H96)</f>
        <v/>
      </c>
    </row>
    <row r="96" customFormat="1" s="343">
      <c r="B96" s="427" t="n"/>
      <c r="E96" s="423" t="n">
        <v>45536</v>
      </c>
      <c r="F96" s="343" t="n">
        <v>1461.7</v>
      </c>
      <c r="G96" s="222">
        <f>LN(F96/F97)</f>
        <v/>
      </c>
      <c r="H96" s="223" t="n">
        <v>63175.7</v>
      </c>
      <c r="I96" s="224">
        <f>LN(H96/H97)</f>
        <v/>
      </c>
    </row>
    <row r="97" customFormat="1" s="343">
      <c r="B97" s="427" t="n"/>
      <c r="E97" s="423" t="n">
        <v>45529</v>
      </c>
      <c r="F97" s="343" t="n">
        <v>1474.35</v>
      </c>
      <c r="G97" s="222">
        <f>LN(F97/F98)</f>
        <v/>
      </c>
      <c r="H97" s="223" t="n">
        <v>63059.75</v>
      </c>
      <c r="I97" s="224">
        <f>LN(H97/H98)</f>
        <v/>
      </c>
    </row>
    <row r="98" customFormat="1" s="343">
      <c r="B98" s="427" t="n"/>
      <c r="E98" s="423" t="n">
        <v>45522</v>
      </c>
      <c r="F98" s="343" t="n">
        <v>1429.65</v>
      </c>
      <c r="G98" s="222">
        <f>LN(F98/F99)</f>
        <v/>
      </c>
      <c r="H98" s="223" t="n">
        <v>63409.25</v>
      </c>
      <c r="I98" s="224">
        <f>LN(H98/H99)</f>
        <v/>
      </c>
    </row>
    <row r="99" customFormat="1" s="343">
      <c r="B99" s="427" t="n"/>
      <c r="E99" s="423" t="n">
        <v>45515</v>
      </c>
      <c r="F99" s="343" t="n">
        <v>1406.3</v>
      </c>
      <c r="G99" s="222">
        <f>LN(F99/F100)</f>
        <v/>
      </c>
      <c r="H99" s="223" t="n">
        <v>62213</v>
      </c>
      <c r="I99" s="224">
        <f>LN(H99/H100)</f>
        <v/>
      </c>
    </row>
    <row r="100" customFormat="1" s="343">
      <c r="B100" s="427" t="n"/>
      <c r="E100" s="423" t="n">
        <v>45508</v>
      </c>
      <c r="F100" s="343" t="n">
        <v>1454.95</v>
      </c>
      <c r="G100" s="222">
        <f>LN(F100/F101)</f>
        <v/>
      </c>
      <c r="H100" s="223" t="n">
        <v>62157.35</v>
      </c>
      <c r="I100" s="224">
        <f>LN(H100/H101)</f>
        <v/>
      </c>
    </row>
    <row r="101" customFormat="1" s="343">
      <c r="B101" s="427" t="n"/>
      <c r="E101" s="423" t="n">
        <v>45501</v>
      </c>
      <c r="F101" s="343" t="n">
        <v>1421</v>
      </c>
      <c r="G101" s="222">
        <f>LN(F101/F102)</f>
        <v/>
      </c>
      <c r="H101" s="223" t="n">
        <v>61745.15</v>
      </c>
      <c r="I101" s="224">
        <f>LN(H101/H102)</f>
        <v/>
      </c>
    </row>
    <row r="102" customFormat="1" s="343">
      <c r="B102" s="427" t="n"/>
      <c r="E102" s="423" t="n">
        <v>45494</v>
      </c>
      <c r="F102" s="343" t="n">
        <v>1415.4</v>
      </c>
      <c r="G102" s="222">
        <f>LN(F102/F103)</f>
        <v/>
      </c>
      <c r="H102" s="223" t="n">
        <v>62728.8</v>
      </c>
      <c r="I102" s="224">
        <f>LN(H102/H103)</f>
        <v/>
      </c>
    </row>
    <row r="103" customFormat="1" s="343">
      <c r="B103" s="427" t="n"/>
      <c r="E103" s="423" t="n">
        <v>45487</v>
      </c>
      <c r="F103" s="343" t="n">
        <v>1297.75</v>
      </c>
      <c r="G103" s="222">
        <f>LN(F103/F104)</f>
        <v/>
      </c>
      <c r="H103" s="223" t="n">
        <v>61087.9</v>
      </c>
      <c r="I103" s="224">
        <f>LN(H103/H104)</f>
        <v/>
      </c>
    </row>
    <row r="104" customFormat="1" s="343">
      <c r="B104" s="427" t="n"/>
      <c r="E104" s="423" t="n">
        <v>45480</v>
      </c>
      <c r="F104" s="343" t="n">
        <v>1289.65</v>
      </c>
      <c r="G104" s="222">
        <f>LN(F104/F105)</f>
        <v/>
      </c>
      <c r="H104" s="223" t="n">
        <v>59725.75</v>
      </c>
      <c r="I104" s="224">
        <f>LN(H104/H105)</f>
        <v/>
      </c>
    </row>
    <row r="105" customFormat="1" s="343">
      <c r="B105" s="427" t="n"/>
      <c r="E105" s="423" t="n">
        <v>45473</v>
      </c>
      <c r="F105" s="343" t="n">
        <v>1254.15</v>
      </c>
      <c r="G105" s="222">
        <f>LN(F105/F106)</f>
        <v/>
      </c>
      <c r="H105" s="223" t="n">
        <v>57673</v>
      </c>
      <c r="I105" s="224">
        <f>LN(H105/H106)</f>
        <v/>
      </c>
    </row>
    <row r="106" customFormat="1" s="343">
      <c r="B106" s="427" t="n"/>
      <c r="E106" s="423" t="n">
        <v>45466</v>
      </c>
      <c r="F106" s="343" t="n">
        <v>1276.5</v>
      </c>
      <c r="G106" s="222">
        <f>LN(F106/F107)</f>
        <v/>
      </c>
      <c r="H106" s="223" t="n">
        <v>56756.85</v>
      </c>
      <c r="I106" s="224">
        <f>LN(H106/H107)</f>
        <v/>
      </c>
    </row>
    <row r="107" customFormat="1" s="343">
      <c r="B107" s="427" t="n"/>
      <c r="E107" s="423" t="n">
        <v>45459</v>
      </c>
      <c r="F107" s="343" t="n">
        <v>1260.65</v>
      </c>
      <c r="G107" s="222">
        <f>LN(F107/F108)</f>
        <v/>
      </c>
      <c r="H107" s="223" t="n">
        <v>55990.1</v>
      </c>
      <c r="I107" s="224">
        <f>LN(H107/H108)</f>
        <v/>
      </c>
    </row>
    <row r="108" customFormat="1" s="343">
      <c r="B108" s="427" t="n"/>
      <c r="E108" s="423" t="n">
        <v>45452</v>
      </c>
      <c r="F108" s="343" t="n">
        <v>1269</v>
      </c>
      <c r="G108" s="222">
        <f>LN(F108/F109)</f>
        <v/>
      </c>
      <c r="H108" s="223" t="n">
        <v>57225.85</v>
      </c>
      <c r="I108" s="224">
        <f>LN(H108/H109)</f>
        <v/>
      </c>
    </row>
    <row r="109" customFormat="1" s="343">
      <c r="B109" s="427" t="n"/>
      <c r="E109" s="423" t="n">
        <v>45445</v>
      </c>
      <c r="F109" s="343" t="n">
        <v>1307.55</v>
      </c>
      <c r="G109" s="222">
        <f>LN(F109/F110)</f>
        <v/>
      </c>
      <c r="H109" s="223" t="n">
        <v>57953.35</v>
      </c>
      <c r="I109" s="224">
        <f>LN(H109/H110)</f>
        <v/>
      </c>
    </row>
    <row r="110" customFormat="1" s="343">
      <c r="B110" s="427" t="n"/>
      <c r="E110" s="423" t="n">
        <v>45438</v>
      </c>
      <c r="F110" s="343" t="n">
        <v>1159.4</v>
      </c>
      <c r="G110" s="222">
        <f>LN(F110/F111)</f>
        <v/>
      </c>
      <c r="H110" s="223" t="n">
        <v>54107.35</v>
      </c>
      <c r="I110" s="224">
        <f>LN(H110/H111)</f>
        <v/>
      </c>
    </row>
    <row r="111" customFormat="1" s="343">
      <c r="B111" s="427" t="n"/>
      <c r="E111" s="423" t="n">
        <v>45431</v>
      </c>
      <c r="F111" s="343" t="n">
        <v>1178.35</v>
      </c>
      <c r="G111" s="222">
        <f>LN(F111/F112)</f>
        <v/>
      </c>
      <c r="H111" s="223" t="n">
        <v>55449.15</v>
      </c>
      <c r="I111" s="224">
        <f>LN(H111/H112)</f>
        <v/>
      </c>
    </row>
    <row r="112" customFormat="1" s="343">
      <c r="B112" s="427" t="n"/>
      <c r="E112" s="423" t="n">
        <v>45424</v>
      </c>
      <c r="F112" s="343" t="n">
        <v>1182.55</v>
      </c>
      <c r="G112" s="222">
        <f>LN(F112/F113)</f>
        <v/>
      </c>
      <c r="H112" s="223" t="n">
        <v>55064.7</v>
      </c>
      <c r="I112" s="224">
        <f>LN(H112/H113)</f>
        <v/>
      </c>
    </row>
    <row r="113" customFormat="1" s="343">
      <c r="B113" s="427" t="n"/>
      <c r="E113" s="423" t="n">
        <v>45417</v>
      </c>
      <c r="F113" s="343" t="n">
        <v>1202.4</v>
      </c>
      <c r="G113" s="222">
        <f>LN(F113/F114)</f>
        <v/>
      </c>
      <c r="H113" s="223" t="n">
        <v>55276.5</v>
      </c>
      <c r="I113" s="224">
        <f>LN(H113/H114)</f>
        <v/>
      </c>
    </row>
    <row r="114" customFormat="1" s="343">
      <c r="B114" s="427" t="n"/>
      <c r="E114" s="423" t="n">
        <v>45410</v>
      </c>
      <c r="F114" s="343" t="n">
        <v>1208.3</v>
      </c>
      <c r="G114" s="222">
        <f>LN(F114/F115)</f>
        <v/>
      </c>
      <c r="H114" s="223" t="n">
        <v>54273.9</v>
      </c>
      <c r="I114" s="224">
        <f>LN(H114/H115)</f>
        <v/>
      </c>
    </row>
    <row r="115" customFormat="1" s="343">
      <c r="B115" s="427" t="n"/>
      <c r="E115" s="423" t="n">
        <v>45403</v>
      </c>
      <c r="F115" s="343" t="n">
        <v>1198.95</v>
      </c>
      <c r="G115" s="222">
        <f>LN(F115/F116)</f>
        <v/>
      </c>
      <c r="H115" s="223" t="n">
        <v>54300.75</v>
      </c>
      <c r="I115" s="224">
        <f>LN(H115/H116)</f>
        <v/>
      </c>
    </row>
    <row r="116" customFormat="1" s="343">
      <c r="B116" s="427" t="n"/>
      <c r="E116" s="423" t="n">
        <v>45396</v>
      </c>
      <c r="F116" s="343" t="n">
        <v>1123.1</v>
      </c>
      <c r="G116" s="222">
        <f>LN(F116/F117)</f>
        <v/>
      </c>
      <c r="H116" s="223" t="n">
        <v>53055.45</v>
      </c>
      <c r="I116" s="224">
        <f>LN(H116/H117)</f>
        <v/>
      </c>
    </row>
    <row r="117" customFormat="1" s="343">
      <c r="B117" s="427" t="n"/>
      <c r="E117" s="423" t="n">
        <v>45389</v>
      </c>
      <c r="F117" s="343" t="n">
        <v>1182.95</v>
      </c>
      <c r="G117" s="222">
        <f>LN(F117/F118)</f>
        <v/>
      </c>
      <c r="H117" s="223" t="n">
        <v>53701.4</v>
      </c>
      <c r="I117" s="224">
        <f>LN(H117/H118)</f>
        <v/>
      </c>
    </row>
    <row r="118" customFormat="1" s="343">
      <c r="B118" s="427" t="n"/>
      <c r="E118" s="423" t="n">
        <v>45382</v>
      </c>
      <c r="F118" s="343" t="n">
        <v>1128.3</v>
      </c>
      <c r="G118" s="222">
        <f>LN(F118/F119)</f>
        <v/>
      </c>
      <c r="H118" s="223" t="n">
        <v>53925.95</v>
      </c>
      <c r="I118" s="224">
        <f>LN(H118/H119)</f>
        <v/>
      </c>
    </row>
    <row r="119" customFormat="1" s="343">
      <c r="B119" s="427" t="n"/>
      <c r="E119" s="423" t="n">
        <v>45375</v>
      </c>
      <c r="F119" s="343" t="n">
        <v>1134.25</v>
      </c>
      <c r="G119" s="222">
        <f>LN(F119/F120)</f>
        <v/>
      </c>
      <c r="H119" s="223" t="n">
        <v>53949.2</v>
      </c>
      <c r="I119" s="224">
        <f>LN(H119/H120)</f>
        <v/>
      </c>
    </row>
    <row r="120" customFormat="1" s="343">
      <c r="B120" s="427" t="n"/>
      <c r="E120" s="423" t="n">
        <v>45368</v>
      </c>
      <c r="F120" s="343" t="n">
        <v>1134.5</v>
      </c>
      <c r="G120" s="222">
        <f>LN(F120/F121)</f>
        <v/>
      </c>
      <c r="H120" s="223" t="n">
        <v>53775.7</v>
      </c>
      <c r="I120" s="224">
        <f>LN(H120/H121)</f>
        <v/>
      </c>
    </row>
    <row r="121" customFormat="1" s="343">
      <c r="B121" s="427" t="n"/>
      <c r="E121" s="423" t="n">
        <v>45361</v>
      </c>
      <c r="F121" s="343" t="n">
        <v>1117.4</v>
      </c>
      <c r="G121" s="222">
        <f>LN(F121/F122)</f>
        <v/>
      </c>
      <c r="H121" s="223" t="n">
        <v>54155.45</v>
      </c>
      <c r="I121" s="224">
        <f>LN(H121/H122)</f>
        <v/>
      </c>
    </row>
    <row r="122" customFormat="1" s="343">
      <c r="B122" s="427" t="n"/>
      <c r="E122" s="423" t="n">
        <v>45354</v>
      </c>
      <c r="F122" s="343" t="n">
        <v>1146.5</v>
      </c>
      <c r="G122" s="222">
        <f>LN(F122/F123)</f>
        <v/>
      </c>
      <c r="H122" s="223" t="n">
        <v>54406.3</v>
      </c>
      <c r="I122" s="224">
        <f>LN(H122/H123)</f>
        <v/>
      </c>
    </row>
    <row r="123" customFormat="1" s="343">
      <c r="B123" s="427" t="n"/>
      <c r="E123" s="423" t="n">
        <v>45347</v>
      </c>
      <c r="F123" s="343" t="n">
        <v>1167.25</v>
      </c>
      <c r="G123" s="222">
        <f>LN(F123/F124)</f>
        <v/>
      </c>
      <c r="H123" s="223" t="n">
        <v>54225.15</v>
      </c>
      <c r="I123" s="224">
        <f>LN(H123/H124)</f>
        <v/>
      </c>
    </row>
    <row r="124" customFormat="1" s="343">
      <c r="B124" s="427" t="n"/>
      <c r="E124" s="423" t="n">
        <v>45340</v>
      </c>
      <c r="F124" s="343" t="n">
        <v>1166.05</v>
      </c>
      <c r="G124" s="222">
        <f>LN(F124/F125)</f>
        <v/>
      </c>
      <c r="H124" s="223" t="n">
        <v>54337.75</v>
      </c>
      <c r="I124" s="224">
        <f>LN(H124/H125)</f>
        <v/>
      </c>
    </row>
    <row r="125" customFormat="1" s="343">
      <c r="B125" s="427" t="n"/>
      <c r="E125" s="423" t="n">
        <v>45333</v>
      </c>
      <c r="F125" s="343" t="n">
        <v>1126.4</v>
      </c>
      <c r="G125" s="222">
        <f>LN(F125/F126)</f>
        <v/>
      </c>
      <c r="H125" s="223" t="n">
        <v>53518.6</v>
      </c>
      <c r="I125" s="224">
        <f>LN(H125/H126)</f>
        <v/>
      </c>
    </row>
    <row r="126" customFormat="1" s="343">
      <c r="B126" s="427" t="n"/>
      <c r="E126" s="423" t="n">
        <v>45326</v>
      </c>
      <c r="F126" s="343" t="n">
        <v>1111.5</v>
      </c>
      <c r="G126" s="222">
        <f>LN(F126/F127)</f>
        <v/>
      </c>
      <c r="H126" s="223" t="n">
        <v>53867.1</v>
      </c>
      <c r="I126" s="224">
        <f>LN(H126/H127)</f>
        <v/>
      </c>
    </row>
    <row r="127" customFormat="1" s="343">
      <c r="B127" s="427" t="n"/>
      <c r="E127" s="423" t="n">
        <v>45319</v>
      </c>
      <c r="F127" s="343" t="n">
        <v>1086.05</v>
      </c>
      <c r="G127" s="222">
        <f>LN(F127/F128)</f>
        <v/>
      </c>
      <c r="H127" s="223" t="n">
        <v>55118.4</v>
      </c>
      <c r="I127" s="224">
        <f>LN(H127/H128)</f>
        <v/>
      </c>
    </row>
    <row r="128" customFormat="1" s="343">
      <c r="B128" s="427" t="n"/>
      <c r="E128" s="423" t="n">
        <v>45312</v>
      </c>
      <c r="F128" s="343" t="n">
        <v>1096</v>
      </c>
      <c r="G128" s="222">
        <f>LN(F128/F129)</f>
        <v/>
      </c>
      <c r="H128" s="223" t="n">
        <v>55214.1</v>
      </c>
      <c r="I128" s="224">
        <f>LN(H128/H129)</f>
        <v/>
      </c>
    </row>
    <row r="129" customFormat="1" s="343">
      <c r="B129" s="427" t="n"/>
      <c r="E129" s="423" t="n">
        <v>45305</v>
      </c>
      <c r="F129" s="343" t="n">
        <v>1082.6</v>
      </c>
      <c r="G129" s="222">
        <f>LN(F129/F130)</f>
        <v/>
      </c>
      <c r="H129" s="223" t="n">
        <v>56640.5</v>
      </c>
      <c r="I129" s="224">
        <f>LN(H129/H130)</f>
        <v/>
      </c>
    </row>
    <row r="130" customFormat="1" s="343">
      <c r="B130" s="427" t="n"/>
      <c r="E130" s="423" t="n">
        <v>45298</v>
      </c>
      <c r="F130" s="343" t="n">
        <v>1111.5</v>
      </c>
      <c r="G130" s="222">
        <f>LN(F130/F131)</f>
        <v/>
      </c>
      <c r="H130" s="223" t="n">
        <v>56485.75</v>
      </c>
      <c r="I130" s="224">
        <f>LN(H130/H131)</f>
        <v/>
      </c>
    </row>
    <row r="131" customFormat="1" s="343">
      <c r="B131" s="427" t="n"/>
      <c r="E131" s="423" t="n">
        <v>45291</v>
      </c>
      <c r="F131" s="343" t="n">
        <v>1101.05</v>
      </c>
      <c r="G131" s="222">
        <f>LN(F131/F132)</f>
        <v/>
      </c>
      <c r="H131" s="223" t="n">
        <v>57667.35</v>
      </c>
      <c r="I131" s="224">
        <f>LN(H131/H132)</f>
        <v/>
      </c>
    </row>
    <row r="132" customFormat="1" s="343">
      <c r="B132" s="427" t="n"/>
      <c r="E132" s="423" t="n">
        <v>45284</v>
      </c>
      <c r="F132" s="343" t="n">
        <v>1117.75</v>
      </c>
      <c r="G132" s="222">
        <f>LN(F132/F133)</f>
        <v/>
      </c>
      <c r="H132" s="223" t="n">
        <v>56987.2</v>
      </c>
      <c r="I132" s="224">
        <f>LN(H132/H133)</f>
        <v/>
      </c>
    </row>
    <row r="133" customFormat="1" s="343">
      <c r="B133" s="427" t="n"/>
      <c r="E133" s="423" t="n">
        <v>45277</v>
      </c>
      <c r="F133" s="343" t="n">
        <v>1076</v>
      </c>
      <c r="G133" s="222">
        <f>LN(F133/F134)</f>
        <v/>
      </c>
      <c r="H133" s="223" t="n">
        <v>55101.05</v>
      </c>
      <c r="I133" s="224">
        <f>LN(H133/H134)</f>
        <v/>
      </c>
    </row>
    <row r="134" customFormat="1" s="343">
      <c r="B134" s="427" t="n"/>
      <c r="E134" s="423" t="n">
        <v>45270</v>
      </c>
      <c r="F134" s="343" t="n">
        <v>1083.25</v>
      </c>
      <c r="G134" s="222">
        <f>LN(F134/F135)</f>
        <v/>
      </c>
      <c r="H134" s="223" t="n">
        <v>54186.2</v>
      </c>
      <c r="I134" s="224">
        <f>LN(H134/H135)</f>
        <v/>
      </c>
    </row>
    <row r="135" customFormat="1" s="343">
      <c r="B135" s="427" t="n"/>
      <c r="E135" s="423" t="n">
        <v>45263</v>
      </c>
      <c r="F135" s="343" t="n">
        <v>1045.25</v>
      </c>
      <c r="G135" s="222">
        <f>LN(F135/F136)</f>
        <v/>
      </c>
      <c r="H135" s="223" t="n">
        <v>53636.35</v>
      </c>
      <c r="I135" s="224">
        <f>LN(H135/H136)</f>
        <v/>
      </c>
    </row>
    <row r="136" customFormat="1" s="343">
      <c r="B136" s="427" t="n"/>
      <c r="E136" s="423" t="n">
        <v>45256</v>
      </c>
      <c r="F136" s="343" t="n">
        <v>1053.8</v>
      </c>
      <c r="G136" s="222">
        <f>LN(F136/F137)</f>
        <v/>
      </c>
      <c r="H136" s="223" t="n">
        <v>53851.45</v>
      </c>
      <c r="I136" s="224">
        <f>LN(H136/H137)</f>
        <v/>
      </c>
    </row>
    <row r="137" customFormat="1" s="343">
      <c r="B137" s="427" t="n"/>
      <c r="E137" s="423" t="n">
        <v>45249</v>
      </c>
      <c r="F137" s="343" t="n">
        <v>1042.5</v>
      </c>
      <c r="G137" s="222">
        <f>LN(F137/F138)</f>
        <v/>
      </c>
      <c r="H137" s="223" t="n">
        <v>52576.9</v>
      </c>
      <c r="I137" s="224">
        <f>LN(H137/H138)</f>
        <v/>
      </c>
    </row>
    <row r="138" customFormat="1" s="343">
      <c r="B138" s="427" t="n"/>
      <c r="E138" s="423" t="n">
        <v>45242</v>
      </c>
      <c r="F138" s="343" t="n">
        <v>1056.45</v>
      </c>
      <c r="G138" s="222">
        <f>LN(F138/F139)</f>
        <v/>
      </c>
      <c r="H138" s="223" t="n">
        <v>52756.1</v>
      </c>
      <c r="I138" s="224">
        <f>LN(H138/H139)</f>
        <v/>
      </c>
    </row>
    <row r="139" customFormat="1" s="343">
      <c r="B139" s="427" t="n"/>
      <c r="E139" s="423" t="n">
        <v>45235</v>
      </c>
      <c r="F139" s="343" t="n">
        <v>1044.35</v>
      </c>
      <c r="G139" s="222">
        <f>LN(F139/F140)</f>
        <v/>
      </c>
      <c r="H139" s="223" t="n">
        <v>52076.05</v>
      </c>
      <c r="I139" s="224">
        <f>LN(H139/H140)</f>
        <v/>
      </c>
    </row>
    <row r="140" customFormat="1" s="343">
      <c r="B140" s="427" t="n"/>
      <c r="E140" s="423" t="n">
        <v>45228</v>
      </c>
      <c r="F140" s="343" t="n">
        <v>1071.2</v>
      </c>
      <c r="G140" s="222">
        <f>LN(F140/F141)</f>
        <v/>
      </c>
      <c r="H140" s="223" t="n">
        <v>51901.5</v>
      </c>
      <c r="I140" s="224">
        <f>LN(H140/H141)</f>
        <v/>
      </c>
    </row>
    <row r="141" customFormat="1" s="343">
      <c r="B141" s="427" t="n"/>
      <c r="E141" s="423" t="n">
        <v>45221</v>
      </c>
      <c r="F141" s="343" t="n">
        <v>1021.95</v>
      </c>
      <c r="G141" s="222">
        <f>LN(F141/F142)</f>
        <v/>
      </c>
      <c r="H141" s="223" t="n">
        <v>51395</v>
      </c>
      <c r="I141" s="224">
        <f>LN(H141/H142)</f>
        <v/>
      </c>
    </row>
    <row r="142" customFormat="1" s="343">
      <c r="B142" s="427" t="n"/>
      <c r="E142" s="423" t="n">
        <v>45214</v>
      </c>
      <c r="F142" s="343" t="n">
        <v>1040.1</v>
      </c>
      <c r="G142" s="222">
        <f>LN(F142/F143)</f>
        <v/>
      </c>
      <c r="H142" s="223" t="n">
        <v>51823.35</v>
      </c>
      <c r="I142" s="224">
        <f>LN(H142/H143)</f>
        <v/>
      </c>
    </row>
    <row r="143" customFormat="1" s="343">
      <c r="B143" s="427" t="n"/>
      <c r="E143" s="423" t="n">
        <v>45207</v>
      </c>
      <c r="F143" s="343" t="n">
        <v>1068.25</v>
      </c>
      <c r="G143" s="222">
        <f>LN(F143/F144)</f>
        <v/>
      </c>
      <c r="H143" s="223" t="n">
        <v>52520.7</v>
      </c>
      <c r="I143" s="224">
        <f>LN(H143/H144)</f>
        <v/>
      </c>
    </row>
    <row r="144" customFormat="1" s="343">
      <c r="B144" s="427" t="n"/>
      <c r="E144" s="423" t="n">
        <v>45200</v>
      </c>
      <c r="F144" s="343" t="n">
        <v>1024.65</v>
      </c>
      <c r="G144" s="222">
        <f>LN(F144/F145)</f>
        <v/>
      </c>
      <c r="H144" s="223" t="n">
        <v>51577.9</v>
      </c>
      <c r="I144" s="224">
        <f>LN(H144/H145)</f>
        <v/>
      </c>
    </row>
    <row r="145" customFormat="1" s="343">
      <c r="B145" s="427" t="n"/>
      <c r="E145" s="423" t="n">
        <v>45193</v>
      </c>
      <c r="F145" s="343" t="n">
        <v>1007.25</v>
      </c>
      <c r="G145" s="222">
        <f>LN(F145/F146)</f>
        <v/>
      </c>
      <c r="H145" s="223" t="n">
        <v>51602.65</v>
      </c>
      <c r="I145" s="224">
        <f>LN(H145/H146)</f>
        <v/>
      </c>
    </row>
    <row r="146" customFormat="1" s="343">
      <c r="B146" s="427" t="n"/>
      <c r="E146" s="423" t="n">
        <v>45186</v>
      </c>
      <c r="F146" s="343" t="n">
        <v>1017.45</v>
      </c>
      <c r="G146" s="222">
        <f>LN(F146/F147)</f>
        <v/>
      </c>
      <c r="H146" s="223" t="n">
        <v>51608.5</v>
      </c>
      <c r="I146" s="224">
        <f>LN(H146/H147)</f>
        <v/>
      </c>
    </row>
    <row r="147" customFormat="1" s="343">
      <c r="B147" s="427" t="n"/>
      <c r="E147" s="423" t="n">
        <v>45179</v>
      </c>
      <c r="F147" s="343" t="n">
        <v>1048.95</v>
      </c>
      <c r="G147" s="222">
        <f>LN(F147/F148)</f>
        <v/>
      </c>
      <c r="H147" s="223" t="n">
        <v>51895.15</v>
      </c>
      <c r="I147" s="224">
        <f>LN(H147/H148)</f>
        <v/>
      </c>
    </row>
    <row r="148" customFormat="1" s="343">
      <c r="B148" s="427" t="n"/>
      <c r="E148" s="423" t="n">
        <v>45172</v>
      </c>
      <c r="F148" s="343" t="n">
        <v>1055.2</v>
      </c>
      <c r="G148" s="222">
        <f>LN(F148/F149)</f>
        <v/>
      </c>
      <c r="H148" s="223" t="n">
        <v>51778.3</v>
      </c>
      <c r="I148" s="224">
        <f>LN(H148/H149)</f>
        <v/>
      </c>
    </row>
    <row r="149" customFormat="1" s="343">
      <c r="B149" s="427" t="n"/>
      <c r="E149" s="423" t="n">
        <v>45165</v>
      </c>
      <c r="F149" s="343" t="n">
        <v>1012.45</v>
      </c>
      <c r="G149" s="222">
        <f>LN(F149/F150)</f>
        <v/>
      </c>
      <c r="H149" s="223" t="n">
        <v>51240.5</v>
      </c>
      <c r="I149" s="224">
        <f>LN(H149/H150)</f>
        <v/>
      </c>
    </row>
    <row r="150" customFormat="1" s="343">
      <c r="B150" s="427" t="n"/>
      <c r="E150" s="423" t="n">
        <v>45158</v>
      </c>
      <c r="F150" s="343" t="n">
        <v>1008.15</v>
      </c>
      <c r="G150" s="222">
        <f>LN(F150/F151)</f>
        <v/>
      </c>
      <c r="H150" s="223" t="n">
        <v>51506.8</v>
      </c>
      <c r="I150" s="224">
        <f>LN(H150/H151)</f>
        <v/>
      </c>
    </row>
    <row r="151" customFormat="1" s="343">
      <c r="B151" s="427" t="n"/>
      <c r="E151" s="423" t="n">
        <v>45151</v>
      </c>
      <c r="F151" s="343" t="n">
        <v>995.45</v>
      </c>
      <c r="G151" s="222">
        <f>LN(F151/F152)</f>
        <v/>
      </c>
      <c r="H151" s="223" t="n">
        <v>51464.75</v>
      </c>
      <c r="I151" s="224">
        <f>LN(H151/H152)</f>
        <v/>
      </c>
    </row>
    <row r="152" customFormat="1" s="343">
      <c r="B152" s="427" t="n"/>
      <c r="E152" s="423" t="n">
        <v>45144</v>
      </c>
      <c r="F152" s="343" t="n">
        <v>987.6</v>
      </c>
      <c r="G152" s="222">
        <f>LN(F152/F153)</f>
        <v/>
      </c>
      <c r="H152" s="223" t="n">
        <v>51351.7</v>
      </c>
      <c r="I152" s="224">
        <f>LN(H152/H153)</f>
        <v/>
      </c>
    </row>
    <row r="153" customFormat="1" s="343">
      <c r="B153" s="427" t="n"/>
      <c r="E153" s="423" t="n">
        <v>45137</v>
      </c>
      <c r="F153" s="343" t="n">
        <v>1005.95</v>
      </c>
      <c r="G153" s="222">
        <f>LN(F153/F154)</f>
        <v/>
      </c>
      <c r="H153" s="223" t="n">
        <v>52050.65</v>
      </c>
      <c r="I153" s="224">
        <f>LN(H153/H154)</f>
        <v/>
      </c>
    </row>
    <row r="154" customFormat="1" s="343">
      <c r="B154" s="427" t="n"/>
      <c r="E154" s="423" t="n">
        <v>45130</v>
      </c>
      <c r="F154" s="343" t="n">
        <v>1011.85</v>
      </c>
      <c r="G154" s="222">
        <f>LN(F154/F155)</f>
        <v/>
      </c>
      <c r="H154" s="223" t="n">
        <v>52964.05</v>
      </c>
      <c r="I154" s="224">
        <f>LN(H154/H155)</f>
        <v/>
      </c>
    </row>
    <row r="155" customFormat="1" s="343">
      <c r="B155" s="427" t="n"/>
      <c r="E155" s="423" t="n">
        <v>45123</v>
      </c>
      <c r="F155" s="343" t="n">
        <v>1039.05</v>
      </c>
      <c r="G155" s="222">
        <f>LN(F155/F156)</f>
        <v/>
      </c>
      <c r="H155" s="223" t="n">
        <v>53697.45</v>
      </c>
      <c r="I155" s="224">
        <f>LN(H155/H156)</f>
        <v/>
      </c>
    </row>
    <row r="156" customFormat="1" s="343">
      <c r="B156" s="427" t="n"/>
      <c r="E156" s="423" t="n">
        <v>45116</v>
      </c>
      <c r="F156" s="343" t="n">
        <v>944.8</v>
      </c>
      <c r="G156" s="222">
        <f>LN(F156/F157)</f>
        <v/>
      </c>
      <c r="H156" s="223" t="n">
        <v>53453.7</v>
      </c>
      <c r="I156" s="224">
        <f>LN(H156/H157)</f>
        <v/>
      </c>
    </row>
    <row r="157" customFormat="1" s="343">
      <c r="B157" s="427" t="n"/>
      <c r="E157" s="423" t="n">
        <v>45109</v>
      </c>
      <c r="F157" s="343" t="n">
        <v>914.65</v>
      </c>
      <c r="G157" s="222">
        <f>LN(F157/F158)</f>
        <v/>
      </c>
      <c r="H157" s="223" t="n">
        <v>52942.45</v>
      </c>
      <c r="I157" s="224">
        <f>LN(H157/H158)</f>
        <v/>
      </c>
    </row>
    <row r="158" customFormat="1" s="343">
      <c r="B158" s="427" t="n"/>
      <c r="E158" s="423" t="n">
        <v>45102</v>
      </c>
      <c r="F158" s="343" t="n">
        <v>912.2</v>
      </c>
      <c r="G158" s="222">
        <f>LN(F158/F159)</f>
        <v/>
      </c>
      <c r="H158" s="223" t="n">
        <v>52194.75</v>
      </c>
      <c r="I158" s="224">
        <f>LN(H158/H159)</f>
        <v/>
      </c>
    </row>
    <row r="159" customFormat="1" s="343">
      <c r="B159" s="427" t="n"/>
      <c r="E159" s="423" t="n">
        <v>45095</v>
      </c>
      <c r="F159" s="343" t="n">
        <v>906.6</v>
      </c>
      <c r="G159" s="222">
        <f>LN(F159/F160)</f>
        <v/>
      </c>
      <c r="H159" s="223" t="n">
        <v>51283.75</v>
      </c>
      <c r="I159" s="224">
        <f>LN(H159/H160)</f>
        <v/>
      </c>
    </row>
    <row r="160" customFormat="1" s="343">
      <c r="B160" s="427" t="n"/>
      <c r="E160" s="423" t="n">
        <v>45088</v>
      </c>
      <c r="F160" s="343" t="n">
        <v>909.35</v>
      </c>
      <c r="G160" s="222">
        <f>LN(F160/F161)</f>
        <v/>
      </c>
      <c r="H160" s="223" t="n">
        <v>52440.2</v>
      </c>
      <c r="I160" s="224">
        <f>LN(H160/H161)</f>
        <v/>
      </c>
    </row>
    <row r="161" customFormat="1" s="343">
      <c r="B161" s="427" t="n"/>
      <c r="E161" s="423" t="n">
        <v>45081</v>
      </c>
      <c r="F161" s="343" t="n">
        <v>888.2</v>
      </c>
      <c r="G161" s="222">
        <f>LN(F161/F162)</f>
        <v/>
      </c>
      <c r="H161" s="223" t="n">
        <v>50674.85</v>
      </c>
      <c r="I161" s="224">
        <f>LN(H161/H162)</f>
        <v/>
      </c>
    </row>
    <row r="162" customFormat="1" s="343">
      <c r="B162" s="427" t="n"/>
      <c r="E162" s="423" t="n">
        <v>45074</v>
      </c>
      <c r="F162" s="343" t="n">
        <v>874.65</v>
      </c>
      <c r="G162" s="222">
        <f>LN(F162/F163)</f>
        <v/>
      </c>
      <c r="H162" s="223" t="n">
        <v>51288.65</v>
      </c>
      <c r="I162" s="224">
        <f>LN(H162/H163)</f>
        <v/>
      </c>
    </row>
    <row r="163" customFormat="1" s="343">
      <c r="B163" s="427" t="n"/>
      <c r="E163" s="423" t="n">
        <v>45067</v>
      </c>
      <c r="F163" s="343" t="n">
        <v>858.65</v>
      </c>
      <c r="G163" s="222">
        <f>LN(F163/F164)</f>
        <v/>
      </c>
      <c r="H163" s="223" t="n">
        <v>50388</v>
      </c>
      <c r="I163" s="224">
        <f>LN(H163/H164)</f>
        <v/>
      </c>
    </row>
    <row r="164" customFormat="1" s="343">
      <c r="B164" s="427" t="n"/>
      <c r="E164" s="423" t="n">
        <v>45060</v>
      </c>
      <c r="F164" s="343" t="n">
        <v>817.05</v>
      </c>
      <c r="G164" s="222">
        <f>LN(F164/F165)</f>
        <v/>
      </c>
      <c r="H164" s="223" t="n">
        <v>48874.25</v>
      </c>
      <c r="I164" s="224">
        <f>LN(H164/H165)</f>
        <v/>
      </c>
    </row>
    <row r="165" customFormat="1" s="343">
      <c r="B165" s="427" t="n"/>
      <c r="E165" s="423" t="n">
        <v>45053</v>
      </c>
      <c r="F165" s="343" t="n">
        <v>795.55</v>
      </c>
      <c r="G165" s="222">
        <f>LN(F165/F166)</f>
        <v/>
      </c>
      <c r="H165" s="223" t="n">
        <v>48950.75</v>
      </c>
      <c r="I165" s="224">
        <f>LN(H165/H166)</f>
        <v/>
      </c>
    </row>
    <row r="166" customFormat="1" s="343">
      <c r="B166" s="427" t="n"/>
      <c r="E166" s="423" t="n">
        <v>45046</v>
      </c>
      <c r="F166" s="343" t="n">
        <v>787.05</v>
      </c>
      <c r="G166" s="222">
        <f>LN(F166/F167)</f>
        <v/>
      </c>
      <c r="H166" s="223" t="n">
        <v>48186.15</v>
      </c>
      <c r="I166" s="224">
        <f>LN(H166/H167)</f>
        <v/>
      </c>
    </row>
    <row r="167" customFormat="1" s="343">
      <c r="B167" s="427" t="n"/>
      <c r="E167" s="423" t="n">
        <v>45039</v>
      </c>
      <c r="F167" s="343" t="n">
        <v>777.15</v>
      </c>
      <c r="G167" s="222">
        <f>LN(F167/F168)</f>
        <v/>
      </c>
      <c r="H167" s="223" t="n">
        <v>47814.1</v>
      </c>
      <c r="I167" s="224">
        <f>LN(H167/H168)</f>
        <v/>
      </c>
    </row>
    <row r="168" customFormat="1" s="343">
      <c r="B168" s="427" t="n"/>
      <c r="E168" s="423" t="n">
        <v>45032</v>
      </c>
      <c r="F168" s="343" t="n">
        <v>759.95</v>
      </c>
      <c r="G168" s="222">
        <f>LN(F168/F169)</f>
        <v/>
      </c>
      <c r="H168" s="223" t="n">
        <v>46669.7</v>
      </c>
      <c r="I168" s="224">
        <f>LN(H168/H169)</f>
        <v/>
      </c>
    </row>
    <row r="169" customFormat="1" s="343">
      <c r="B169" s="427" t="n"/>
      <c r="E169" s="423" t="n">
        <v>45025</v>
      </c>
      <c r="F169" s="343" t="n">
        <v>762.05</v>
      </c>
      <c r="G169" s="222">
        <f>LN(F169/F170)</f>
        <v/>
      </c>
      <c r="H169" s="223" t="n">
        <v>46211.95</v>
      </c>
      <c r="I169" s="224">
        <f>LN(H169/H170)</f>
        <v/>
      </c>
    </row>
    <row r="170" customFormat="1" s="343">
      <c r="B170" s="427" t="n"/>
      <c r="E170" s="423" t="n">
        <v>45018</v>
      </c>
      <c r="F170" s="343" t="n">
        <v>756.45</v>
      </c>
      <c r="G170" s="222">
        <f>LN(F170/F171)</f>
        <v/>
      </c>
      <c r="H170" s="223" t="n">
        <v>46109.15</v>
      </c>
      <c r="I170" s="224">
        <f>LN(H170/H171)</f>
        <v/>
      </c>
    </row>
    <row r="171" customFormat="1" s="343">
      <c r="B171" s="427" t="n"/>
      <c r="E171" s="423" t="n">
        <v>45011</v>
      </c>
      <c r="F171" s="343" t="n">
        <v>756.3</v>
      </c>
      <c r="G171" s="222">
        <f>LN(F171/F172)</f>
        <v/>
      </c>
      <c r="H171" s="223" t="n">
        <v>45904.9</v>
      </c>
      <c r="I171" s="224">
        <f>LN(H171/H172)</f>
        <v/>
      </c>
    </row>
    <row r="172" customFormat="1" s="343">
      <c r="B172" s="427" t="n"/>
      <c r="E172" s="423" t="n">
        <v>45004</v>
      </c>
      <c r="F172" s="343" t="n">
        <v>763.75</v>
      </c>
      <c r="G172" s="222">
        <f>LN(F172/F173)</f>
        <v/>
      </c>
      <c r="H172" s="223" t="n">
        <v>45060</v>
      </c>
      <c r="I172" s="224">
        <f>LN(H172/H173)</f>
        <v/>
      </c>
    </row>
    <row r="173" customFormat="1" s="343">
      <c r="B173" s="427" t="n"/>
      <c r="E173" s="423" t="n">
        <v>44997</v>
      </c>
      <c r="F173" s="343" t="n">
        <v>770.65</v>
      </c>
      <c r="G173" s="222">
        <f>LN(F173/F174)</f>
        <v/>
      </c>
      <c r="H173" s="223" t="n">
        <v>44858.3</v>
      </c>
      <c r="I173" s="224">
        <f>LN(H173/H174)</f>
        <v/>
      </c>
    </row>
    <row r="174" customFormat="1" s="343">
      <c r="B174" s="427" t="n"/>
      <c r="E174" s="423" t="n">
        <v>44990</v>
      </c>
      <c r="F174" s="343" t="n">
        <v>746.85</v>
      </c>
      <c r="G174" s="222">
        <f>LN(F174/F175)</f>
        <v/>
      </c>
      <c r="H174" s="223" t="n">
        <v>45334.75</v>
      </c>
      <c r="I174" s="224">
        <f>LN(H174/H175)</f>
        <v/>
      </c>
    </row>
    <row r="175" customFormat="1" s="343">
      <c r="B175" s="427" t="n"/>
      <c r="E175" s="423" t="n">
        <v>44983</v>
      </c>
      <c r="F175" s="343" t="n">
        <v>756</v>
      </c>
      <c r="G175" s="222">
        <f>LN(F175/F176)</f>
        <v/>
      </c>
      <c r="H175" s="223" t="n">
        <v>45410</v>
      </c>
      <c r="I175" s="224">
        <f>LN(H175/H176)</f>
        <v/>
      </c>
    </row>
    <row r="176" customFormat="1" s="343">
      <c r="B176" s="427" t="n"/>
      <c r="E176" s="423" t="n">
        <v>44976</v>
      </c>
      <c r="F176" s="343" t="n">
        <v>743.4</v>
      </c>
      <c r="G176" s="222">
        <f>LN(F176/F177)</f>
        <v/>
      </c>
      <c r="H176" s="223" t="n">
        <v>45372.5</v>
      </c>
      <c r="I176" s="224">
        <f>LN(H176/H177)</f>
        <v/>
      </c>
    </row>
    <row r="177" customFormat="1" s="343">
      <c r="B177" s="427" t="n"/>
      <c r="E177" s="423" t="n">
        <v>44969</v>
      </c>
      <c r="F177" s="343" t="n">
        <v>771.8</v>
      </c>
      <c r="G177" s="222">
        <f>LN(F177/F178)</f>
        <v/>
      </c>
      <c r="H177" s="223" t="n">
        <v>45617.3</v>
      </c>
      <c r="I177" s="224">
        <f>LN(H177/H178)</f>
        <v/>
      </c>
    </row>
    <row r="178" customFormat="1" s="343">
      <c r="B178" s="427" t="n"/>
      <c r="E178" s="423" t="n">
        <v>44962</v>
      </c>
      <c r="F178" s="343" t="n">
        <v>780.05</v>
      </c>
      <c r="G178" s="222">
        <f>LN(F178/F179)</f>
        <v/>
      </c>
      <c r="H178" s="223" t="n">
        <v>45488.1</v>
      </c>
      <c r="I178" s="224">
        <f>LN(H178/H179)</f>
        <v/>
      </c>
    </row>
    <row r="179" customFormat="1" s="343">
      <c r="B179" s="427" t="n"/>
      <c r="E179" s="423" t="n">
        <v>44955</v>
      </c>
      <c r="F179" s="343" t="n">
        <v>768.85</v>
      </c>
      <c r="G179" s="222">
        <f>LN(F179/F180)</f>
        <v/>
      </c>
      <c r="H179" s="223" t="n">
        <v>46037.2</v>
      </c>
      <c r="I179" s="224">
        <f>LN(H179/H180)</f>
        <v/>
      </c>
    </row>
    <row r="180" customFormat="1" s="343">
      <c r="B180" s="427" t="n"/>
      <c r="E180" s="423" t="n">
        <v>44948</v>
      </c>
      <c r="F180" s="343" t="n">
        <v>767.15</v>
      </c>
      <c r="G180" s="222">
        <f>LN(F180/F181)</f>
        <v/>
      </c>
      <c r="H180" s="223" t="n">
        <v>44486.65</v>
      </c>
      <c r="I180" s="224">
        <f>LN(H180/H181)</f>
        <v/>
      </c>
    </row>
    <row r="181" customFormat="1" s="343">
      <c r="B181" s="427" t="n"/>
      <c r="E181" s="423" t="n">
        <v>44941</v>
      </c>
      <c r="F181" s="343" t="n">
        <v>821.95</v>
      </c>
      <c r="G181" s="222">
        <f>LN(F181/F182)</f>
        <v/>
      </c>
      <c r="H181" s="223" t="n">
        <v>43899.6</v>
      </c>
      <c r="I181" s="224">
        <f>LN(H181/H182)</f>
        <v/>
      </c>
    </row>
    <row r="182" customFormat="1" s="343">
      <c r="B182" s="427" t="n"/>
      <c r="E182" s="423" t="n">
        <v>44934</v>
      </c>
      <c r="F182" s="343" t="n">
        <v>846</v>
      </c>
      <c r="G182" s="222">
        <f>LN(F182/F183)</f>
        <v/>
      </c>
      <c r="H182" s="223" t="n">
        <v>43955.6</v>
      </c>
      <c r="I182" s="224">
        <f>LN(H182/H183)</f>
        <v/>
      </c>
    </row>
    <row r="183" customFormat="1" s="343">
      <c r="B183" s="427" t="n"/>
      <c r="E183" s="423" t="n">
        <v>44927</v>
      </c>
      <c r="F183" s="343" t="n">
        <v>856.5</v>
      </c>
      <c r="G183" s="222">
        <f>LN(F183/F184)</f>
        <v/>
      </c>
      <c r="H183" s="223" t="n">
        <v>44412.85</v>
      </c>
      <c r="I183" s="224">
        <f>LN(H183/H184)</f>
        <v/>
      </c>
    </row>
    <row r="184" customFormat="1" s="343">
      <c r="B184" s="427" t="n"/>
      <c r="E184" s="423" t="n">
        <v>44920</v>
      </c>
      <c r="F184" s="343" t="n">
        <v>877.55</v>
      </c>
      <c r="G184" s="222">
        <f>LN(F184/F185)</f>
        <v/>
      </c>
      <c r="H184" s="223" t="n">
        <v>44171.45</v>
      </c>
      <c r="I184" s="224">
        <f>LN(H184/H185)</f>
        <v/>
      </c>
    </row>
    <row r="185" customFormat="1" s="343">
      <c r="B185" s="427" t="n"/>
      <c r="E185" s="423" t="n">
        <v>44913</v>
      </c>
      <c r="F185" s="343" t="n">
        <v>874.25</v>
      </c>
      <c r="G185" s="222">
        <f>LN(F185/F186)</f>
        <v/>
      </c>
      <c r="H185" s="223" t="n">
        <v>44314.9</v>
      </c>
      <c r="I185" s="224">
        <f>LN(H185/H186)</f>
        <v/>
      </c>
    </row>
    <row r="186" customFormat="1" s="343">
      <c r="B186" s="427" t="n"/>
      <c r="E186" s="423" t="n">
        <v>44906</v>
      </c>
      <c r="F186" s="343" t="n">
        <v>903.6</v>
      </c>
      <c r="G186" s="222">
        <f>LN(F186/F187)</f>
        <v/>
      </c>
      <c r="H186" s="223" t="n">
        <v>45320.75</v>
      </c>
      <c r="I186" s="224">
        <f>LN(H186/H187)</f>
        <v/>
      </c>
    </row>
    <row r="187" customFormat="1" s="343">
      <c r="B187" s="427" t="n"/>
      <c r="E187" s="423" t="n">
        <v>44899</v>
      </c>
      <c r="F187" s="343" t="n">
        <v>938</v>
      </c>
      <c r="G187" s="222">
        <f>LN(F187/F188)</f>
        <v/>
      </c>
      <c r="H187" s="223" t="n">
        <v>46159.5</v>
      </c>
      <c r="I187" s="224">
        <f>LN(H187/H188)</f>
        <v/>
      </c>
    </row>
    <row r="188" customFormat="1" s="343">
      <c r="B188" s="427" t="n"/>
      <c r="E188" s="423" t="n">
        <v>44892</v>
      </c>
      <c r="F188" s="343" t="n">
        <v>935.9</v>
      </c>
      <c r="G188" s="222">
        <f>LN(F188/F189)</f>
        <v/>
      </c>
      <c r="H188" s="223" t="n">
        <v>45154.2</v>
      </c>
      <c r="I188" s="224">
        <f>LN(H188/H189)</f>
        <v/>
      </c>
    </row>
    <row r="189" customFormat="1" s="343">
      <c r="B189" s="427" t="n"/>
      <c r="E189" s="423" t="n">
        <v>44885</v>
      </c>
      <c r="F189" s="343" t="n">
        <v>889.35</v>
      </c>
      <c r="G189" s="222">
        <f>LN(F189/F190)</f>
        <v/>
      </c>
      <c r="H189" s="223" t="n">
        <v>44102.6</v>
      </c>
      <c r="I189" s="224">
        <f>LN(H189/H190)</f>
        <v/>
      </c>
    </row>
    <row r="190" customFormat="1" s="343">
      <c r="B190" s="427" t="n"/>
      <c r="E190" s="423" t="n">
        <v>44878</v>
      </c>
      <c r="F190" s="343" t="n">
        <v>874.05</v>
      </c>
      <c r="G190" s="222">
        <f>LN(F190/F191)</f>
        <v/>
      </c>
      <c r="H190" s="223" t="n">
        <v>43747</v>
      </c>
      <c r="I190" s="224">
        <f>LN(H190/H191)</f>
        <v/>
      </c>
    </row>
    <row r="191" customFormat="1" s="343">
      <c r="B191" s="427" t="n"/>
      <c r="E191" s="423" t="n">
        <v>44871</v>
      </c>
      <c r="F191" s="343" t="n">
        <v>884.9</v>
      </c>
      <c r="G191" s="222">
        <f>LN(F191/F192)</f>
        <v/>
      </c>
      <c r="H191" s="223" t="n">
        <v>44520.5</v>
      </c>
      <c r="I191" s="224">
        <f>LN(H191/H192)</f>
        <v/>
      </c>
    </row>
    <row r="192" customFormat="1" s="343">
      <c r="B192" s="427" t="n"/>
      <c r="E192" s="423" t="n">
        <v>44864</v>
      </c>
      <c r="F192" s="343" t="n">
        <v>884.45</v>
      </c>
      <c r="G192" s="222">
        <f>LN(F192/F193)</f>
        <v/>
      </c>
      <c r="H192" s="223" t="n">
        <v>44509.55</v>
      </c>
      <c r="I192" s="224">
        <f>LN(H192/H193)</f>
        <v/>
      </c>
    </row>
    <row r="193" customFormat="1" s="343">
      <c r="B193" s="427" t="n"/>
      <c r="E193" s="423" t="n">
        <v>44857</v>
      </c>
      <c r="F193" s="343" t="n">
        <v>873.25</v>
      </c>
      <c r="G193" s="222">
        <f>LN(F193/F194)</f>
        <v/>
      </c>
      <c r="H193" s="223" t="n">
        <v>43944.1</v>
      </c>
      <c r="I193" s="224">
        <f>LN(H193/H194)</f>
        <v/>
      </c>
    </row>
    <row r="194" customFormat="1" s="343">
      <c r="B194" s="427" t="n"/>
      <c r="E194" s="423" t="n">
        <v>44850</v>
      </c>
      <c r="F194" s="343" t="n">
        <v>820.6</v>
      </c>
      <c r="G194" s="222">
        <f>LN(F194/F195)</f>
        <v/>
      </c>
      <c r="H194" s="223" t="n">
        <v>44269.2</v>
      </c>
      <c r="I194" s="224">
        <f>LN(H194/H195)</f>
        <v/>
      </c>
    </row>
    <row r="195" customFormat="1" s="343">
      <c r="B195" s="427" t="n"/>
      <c r="E195" s="423" t="n">
        <v>44843</v>
      </c>
      <c r="F195" s="343" t="n">
        <v>823.5</v>
      </c>
      <c r="G195" s="222">
        <f>LN(F195/F196)</f>
        <v/>
      </c>
      <c r="H195" s="223" t="n">
        <v>43153.05</v>
      </c>
      <c r="I195" s="224">
        <f>LN(H195/H196)</f>
        <v/>
      </c>
    </row>
    <row r="196" customFormat="1" s="343">
      <c r="B196" s="427" t="n"/>
      <c r="E196" s="423" t="n">
        <v>44836</v>
      </c>
      <c r="F196" s="343" t="n">
        <v>874.45</v>
      </c>
      <c r="G196" s="222">
        <f>LN(F196/F197)</f>
        <v/>
      </c>
      <c r="H196" s="223" t="n">
        <v>43813.3</v>
      </c>
      <c r="I196" s="224">
        <f>LN(H196/H197)</f>
        <v/>
      </c>
    </row>
    <row r="197" customFormat="1" s="343">
      <c r="B197" s="427" t="n"/>
      <c r="E197" s="423" t="n">
        <v>44829</v>
      </c>
      <c r="F197" s="343" t="n">
        <v>842.3</v>
      </c>
      <c r="G197" s="222">
        <f>LN(F197/F198)</f>
        <v/>
      </c>
      <c r="H197" s="223" t="n">
        <v>44405.65</v>
      </c>
      <c r="I197" s="224">
        <f>LN(H197/H198)</f>
        <v/>
      </c>
    </row>
    <row r="198" customFormat="1" s="343">
      <c r="B198" s="427" t="n"/>
      <c r="E198" s="423" t="n">
        <v>44822</v>
      </c>
      <c r="F198" s="343" t="n">
        <v>871.3</v>
      </c>
      <c r="G198" s="222">
        <f>LN(F198/F199)</f>
        <v/>
      </c>
      <c r="H198" s="223" t="n">
        <v>44854.65</v>
      </c>
      <c r="I198" s="224">
        <f>LN(H198/H199)</f>
        <v/>
      </c>
    </row>
    <row r="199" customFormat="1" s="343">
      <c r="B199" s="427" t="n"/>
      <c r="E199" s="423" t="n">
        <v>44815</v>
      </c>
      <c r="F199" s="343" t="n">
        <v>838.1</v>
      </c>
      <c r="G199" s="222">
        <f>LN(F199/F200)</f>
        <v/>
      </c>
      <c r="H199" s="223" t="n">
        <v>43192.65</v>
      </c>
      <c r="I199" s="224">
        <f>LN(H199/H200)</f>
        <v/>
      </c>
    </row>
    <row r="200" customFormat="1" s="343">
      <c r="B200" s="427" t="n"/>
      <c r="E200" s="423" t="n">
        <v>44808</v>
      </c>
      <c r="F200" s="343" t="n">
        <v>808.15</v>
      </c>
      <c r="G200" s="222">
        <f>LN(F200/F201)</f>
        <v/>
      </c>
      <c r="H200" s="223" t="n">
        <v>43837.7</v>
      </c>
      <c r="I200" s="224">
        <f>LN(H200/H201)</f>
        <v/>
      </c>
    </row>
    <row r="201" customFormat="1" s="343">
      <c r="B201" s="427" t="n"/>
      <c r="E201" s="423" t="n">
        <v>44801</v>
      </c>
      <c r="F201" s="343" t="n">
        <v>824.3</v>
      </c>
      <c r="G201" s="222">
        <f>LN(F201/F202)</f>
        <v/>
      </c>
      <c r="H201" s="223" t="n">
        <v>43666.55</v>
      </c>
      <c r="I201" s="224">
        <f>LN(H201/H202)</f>
        <v/>
      </c>
    </row>
    <row r="202" customFormat="1" s="343">
      <c r="B202" s="427" t="n"/>
      <c r="E202" s="423" t="n">
        <v>44794</v>
      </c>
      <c r="F202" s="343" t="n">
        <v>810.65</v>
      </c>
      <c r="G202" s="222">
        <f>LN(F202/F203)</f>
        <v/>
      </c>
      <c r="H202" s="223" t="n">
        <v>42768.95</v>
      </c>
      <c r="I202" s="224">
        <f>LN(H202/H203)</f>
        <v/>
      </c>
    </row>
    <row r="203" customFormat="1" s="343">
      <c r="B203" s="427" t="n"/>
      <c r="E203" s="423" t="n">
        <v>44787</v>
      </c>
      <c r="F203" s="343" t="n">
        <v>792</v>
      </c>
      <c r="G203" s="222">
        <f>LN(F203/F204)</f>
        <v/>
      </c>
      <c r="H203" s="223" t="n">
        <v>42945.35</v>
      </c>
      <c r="I203" s="224">
        <f>LN(H203/H204)</f>
        <v/>
      </c>
    </row>
    <row r="204" customFormat="1" s="343">
      <c r="B204" s="427" t="n"/>
      <c r="E204" s="423" t="n">
        <v>44780</v>
      </c>
      <c r="F204" s="343" t="n">
        <v>788.25</v>
      </c>
      <c r="G204" s="222">
        <f>LN(F204/F205)</f>
        <v/>
      </c>
      <c r="H204" s="223" t="n">
        <v>42457.3</v>
      </c>
      <c r="I204" s="224">
        <f>LN(H204/H205)</f>
        <v/>
      </c>
    </row>
    <row r="205" customFormat="1" s="343">
      <c r="B205" s="427" t="n"/>
      <c r="E205" s="423" t="n">
        <v>44773</v>
      </c>
      <c r="F205" s="343" t="n">
        <v>786.5</v>
      </c>
      <c r="G205" s="222">
        <f>LN(F205/F206)</f>
        <v/>
      </c>
      <c r="H205" s="223" t="n">
        <v>42930.9</v>
      </c>
      <c r="I205" s="224">
        <f>LN(H205/H206)</f>
        <v/>
      </c>
    </row>
    <row r="206" customFormat="1" s="343">
      <c r="B206" s="427" t="n"/>
      <c r="E206" s="423" t="n">
        <v>44766</v>
      </c>
      <c r="F206" s="343" t="n">
        <v>779</v>
      </c>
      <c r="G206" s="222">
        <f>LN(F206/F207)</f>
        <v/>
      </c>
      <c r="H206" s="223" t="n">
        <v>42487.4</v>
      </c>
      <c r="I206" s="224">
        <f>LN(H206/H207)</f>
        <v/>
      </c>
    </row>
    <row r="207" customFormat="1" s="343">
      <c r="B207" s="427" t="n"/>
      <c r="E207" s="423" t="n">
        <v>44759</v>
      </c>
      <c r="F207" s="343" t="n">
        <v>843.95</v>
      </c>
      <c r="G207" s="222">
        <f>LN(F207/F208)</f>
        <v/>
      </c>
      <c r="H207" s="223" t="n">
        <v>42502.75</v>
      </c>
      <c r="I207" s="224">
        <f>LN(H207/H208)</f>
        <v/>
      </c>
    </row>
    <row r="208" customFormat="1" s="343">
      <c r="B208" s="427" t="n"/>
      <c r="E208" s="423" t="n">
        <v>44752</v>
      </c>
      <c r="F208" s="343" t="n">
        <v>823.95</v>
      </c>
      <c r="G208" s="222">
        <f>LN(F208/F209)</f>
        <v/>
      </c>
      <c r="H208" s="223" t="n">
        <v>41498.8</v>
      </c>
      <c r="I208" s="224">
        <f>LN(H208/H209)</f>
        <v/>
      </c>
    </row>
    <row r="209" customFormat="1" s="343">
      <c r="B209" s="427" t="n"/>
      <c r="E209" s="423" t="n">
        <v>44745</v>
      </c>
      <c r="F209" s="343" t="n">
        <v>814.05</v>
      </c>
      <c r="G209" s="222">
        <f>LN(F209/F210)</f>
        <v/>
      </c>
      <c r="H209" s="223" t="n">
        <v>40925.25</v>
      </c>
      <c r="I209" s="224">
        <f>LN(H209/H210)</f>
        <v/>
      </c>
    </row>
    <row r="210" customFormat="1" s="343">
      <c r="B210" s="427" t="n"/>
      <c r="E210" s="423" t="n">
        <v>44738</v>
      </c>
      <c r="F210" s="343" t="n">
        <v>788.8</v>
      </c>
      <c r="G210" s="222">
        <f>LN(F210/F211)</f>
        <v/>
      </c>
      <c r="H210" s="223" t="n">
        <v>38725.85</v>
      </c>
      <c r="I210" s="224">
        <f>LN(H210/H211)</f>
        <v/>
      </c>
    </row>
    <row r="211" customFormat="1" s="343">
      <c r="B211" s="427" t="n"/>
      <c r="E211" s="423" t="n">
        <v>44731</v>
      </c>
      <c r="F211" s="343" t="n">
        <v>761.35</v>
      </c>
      <c r="G211" s="222">
        <f>LN(F211/F212)</f>
        <v/>
      </c>
      <c r="H211" s="223" t="n">
        <v>37778.85</v>
      </c>
      <c r="I211" s="224">
        <f>LN(H211/H212)</f>
        <v/>
      </c>
    </row>
    <row r="212" customFormat="1" s="343">
      <c r="B212" s="427" t="n"/>
      <c r="E212" s="423" t="n">
        <v>44724</v>
      </c>
      <c r="F212" s="343" t="n">
        <v>732.25</v>
      </c>
      <c r="G212" s="222">
        <f>LN(F212/F213)</f>
        <v/>
      </c>
      <c r="H212" s="223" t="n">
        <v>36264.55</v>
      </c>
      <c r="I212" s="224">
        <f>LN(H212/H213)</f>
        <v/>
      </c>
    </row>
    <row r="213" customFormat="1" s="343">
      <c r="B213" s="427" t="n"/>
      <c r="E213" s="423" t="n">
        <v>44717</v>
      </c>
      <c r="F213" s="343" t="n">
        <v>786.35</v>
      </c>
      <c r="G213" s="222">
        <f>LN(F213/F214)</f>
        <v/>
      </c>
      <c r="H213" s="223" t="n">
        <v>37428.7</v>
      </c>
      <c r="I213" s="224">
        <f>LN(H213/H214)</f>
        <v/>
      </c>
    </row>
    <row r="214" customFormat="1" s="343">
      <c r="B214" s="427" t="n"/>
      <c r="E214" s="423" t="n">
        <v>44710</v>
      </c>
      <c r="F214" s="343" t="n">
        <v>806.7</v>
      </c>
      <c r="G214" s="222">
        <f>LN(F214/F215)</f>
        <v/>
      </c>
      <c r="H214" s="223" t="n">
        <v>38273.9</v>
      </c>
      <c r="I214" s="224">
        <f>LN(H214/H215)</f>
        <v/>
      </c>
    </row>
    <row r="215" customFormat="1" s="343">
      <c r="B215" s="427" t="n"/>
      <c r="E215" s="423" t="n">
        <v>44703</v>
      </c>
      <c r="F215" s="343" t="n">
        <v>777.8</v>
      </c>
      <c r="G215" s="222">
        <f>LN(F215/F216)</f>
        <v/>
      </c>
      <c r="H215" s="223" t="n">
        <v>38242.7</v>
      </c>
      <c r="I215" s="224">
        <f>LN(H215/H216)</f>
        <v/>
      </c>
    </row>
    <row r="216" customFormat="1" s="343">
      <c r="B216" s="427" t="n"/>
      <c r="E216" s="423" t="n">
        <v>44696</v>
      </c>
      <c r="F216" s="343" t="n">
        <v>798.8</v>
      </c>
      <c r="G216" s="222">
        <f>LN(F216/F217)</f>
        <v/>
      </c>
      <c r="H216" s="223" t="n">
        <v>38546.35</v>
      </c>
      <c r="I216" s="224">
        <f>LN(H216/H217)</f>
        <v/>
      </c>
    </row>
    <row r="217" customFormat="1" s="343">
      <c r="B217" s="427" t="n"/>
      <c r="E217" s="423" t="n">
        <v>44689</v>
      </c>
      <c r="F217" s="343" t="n">
        <v>822.55</v>
      </c>
      <c r="G217" s="222">
        <f>LN(F217/F218)</f>
        <v/>
      </c>
      <c r="H217" s="223" t="n">
        <v>36887.15</v>
      </c>
      <c r="I217" s="224">
        <f>LN(H217/H218)</f>
        <v/>
      </c>
    </row>
    <row r="218" customFormat="1" s="343">
      <c r="B218" s="427" t="n"/>
      <c r="E218" s="423" t="n">
        <v>44682</v>
      </c>
      <c r="F218" s="343" t="n">
        <v>817.4</v>
      </c>
      <c r="G218" s="222">
        <f>LN(F218/F219)</f>
        <v/>
      </c>
      <c r="H218" s="223" t="n">
        <v>37279.3</v>
      </c>
      <c r="I218" s="224">
        <f>LN(H218/H219)</f>
        <v/>
      </c>
    </row>
    <row r="219" customFormat="1" s="343">
      <c r="B219" s="427" t="n"/>
      <c r="E219" s="423" t="n">
        <v>44675</v>
      </c>
      <c r="F219" s="343" t="n">
        <v>862.85</v>
      </c>
      <c r="G219" s="222">
        <f>LN(F219/F220)</f>
        <v/>
      </c>
      <c r="H219" s="223" t="n">
        <v>38204.15</v>
      </c>
      <c r="I219" s="224">
        <f>LN(H219/H220)</f>
        <v/>
      </c>
    </row>
    <row r="220" customFormat="1" s="343">
      <c r="B220" s="427" t="n"/>
      <c r="E220" s="423" t="n">
        <v>44668</v>
      </c>
      <c r="F220" s="343" t="n">
        <v>872.2</v>
      </c>
      <c r="G220" s="222">
        <f>LN(F220/F221)</f>
        <v/>
      </c>
      <c r="H220" s="223" t="n">
        <v>37775.45</v>
      </c>
      <c r="I220" s="224">
        <f>LN(H220/H221)</f>
        <v/>
      </c>
    </row>
    <row r="221" customFormat="1" s="343">
      <c r="B221" s="427" t="n"/>
      <c r="E221" s="423" t="n">
        <v>44661</v>
      </c>
      <c r="F221" s="343" t="n">
        <v>893.95</v>
      </c>
      <c r="G221" s="222">
        <f>LN(F221/F222)</f>
        <v/>
      </c>
      <c r="H221" s="223" t="n">
        <v>38191.4</v>
      </c>
      <c r="I221" s="224">
        <f>LN(H221/H222)</f>
        <v/>
      </c>
    </row>
    <row r="222" customFormat="1" s="343">
      <c r="B222" s="427" t="n"/>
      <c r="E222" s="423" t="n">
        <v>44654</v>
      </c>
      <c r="F222" s="343" t="n">
        <v>903.1</v>
      </c>
      <c r="G222" s="222">
        <f>LN(F222/F223)</f>
        <v/>
      </c>
      <c r="H222" s="223" t="n">
        <v>38322.65</v>
      </c>
      <c r="I222" s="224">
        <f>LN(H222/H223)</f>
        <v/>
      </c>
    </row>
    <row r="223" customFormat="1" s="343">
      <c r="B223" s="427" t="n"/>
      <c r="E223" s="423" t="n">
        <v>44647</v>
      </c>
      <c r="F223" s="343" t="n">
        <v>899.4</v>
      </c>
      <c r="G223" s="222">
        <f>LN(F223/F224)</f>
        <v/>
      </c>
      <c r="H223" s="223" t="n">
        <v>36712.15</v>
      </c>
      <c r="I223" s="224">
        <f>LN(H223/H224)</f>
        <v/>
      </c>
    </row>
    <row r="224" customFormat="1" s="343">
      <c r="B224" s="427" t="n"/>
      <c r="E224" s="423" t="n">
        <v>44640</v>
      </c>
      <c r="F224" s="343" t="n">
        <v>887.2</v>
      </c>
      <c r="G224" s="222">
        <f>LN(F224/F225)</f>
        <v/>
      </c>
      <c r="H224" s="223" t="n">
        <v>35522.75</v>
      </c>
      <c r="I224" s="224">
        <f>LN(H224/H225)</f>
        <v/>
      </c>
    </row>
    <row r="225" customFormat="1" s="343">
      <c r="B225" s="427" t="n"/>
      <c r="E225" s="423" t="n">
        <v>44633</v>
      </c>
      <c r="F225" s="343" t="n">
        <v>919.55</v>
      </c>
      <c r="G225" s="222">
        <f>LN(F225/F226)</f>
        <v/>
      </c>
      <c r="H225" s="223" t="n">
        <v>36782.7</v>
      </c>
      <c r="I225" s="224">
        <f>LN(H225/H226)</f>
        <v/>
      </c>
    </row>
    <row r="226" customFormat="1" s="343">
      <c r="B226" s="427" t="n"/>
      <c r="E226" s="423" t="n">
        <v>44626</v>
      </c>
      <c r="F226" s="343" t="n">
        <v>851.85</v>
      </c>
      <c r="G226" s="222">
        <f>LN(F226/F227)</f>
        <v/>
      </c>
      <c r="H226" s="223" t="n">
        <v>35613.65</v>
      </c>
      <c r="I226" s="224">
        <f>LN(H226/H227)</f>
        <v/>
      </c>
    </row>
    <row r="227" customFormat="1" s="343">
      <c r="B227" s="427" t="n"/>
      <c r="E227" s="423" t="n">
        <v>44619</v>
      </c>
      <c r="F227" s="343" t="n">
        <v>825.8</v>
      </c>
      <c r="G227" s="222">
        <f>LN(F227/F228)</f>
        <v/>
      </c>
      <c r="H227" s="223" t="n">
        <v>34627.85</v>
      </c>
      <c r="I227" s="224">
        <f>LN(H227/H228)</f>
        <v/>
      </c>
    </row>
    <row r="228" customFormat="1" s="343">
      <c r="B228" s="427" t="n"/>
      <c r="E228" s="423" t="n">
        <v>44612</v>
      </c>
      <c r="F228" s="343" t="n">
        <v>880.05</v>
      </c>
      <c r="G228" s="222">
        <f>LN(F228/F229)</f>
        <v/>
      </c>
      <c r="H228" s="223" t="n">
        <v>35292.55</v>
      </c>
      <c r="I228" s="224">
        <f>LN(H228/H229)</f>
        <v/>
      </c>
    </row>
    <row r="229" customFormat="1" s="343">
      <c r="B229" s="427" t="n"/>
      <c r="E229" s="423" t="n">
        <v>44605</v>
      </c>
      <c r="F229" s="343" t="n">
        <v>835.95</v>
      </c>
      <c r="G229" s="222">
        <f>LN(F229/F230)</f>
        <v/>
      </c>
      <c r="H229" s="223" t="n">
        <v>36498.7</v>
      </c>
      <c r="I229" s="224">
        <f>LN(H229/H230)</f>
        <v/>
      </c>
    </row>
    <row r="230" customFormat="1" s="343">
      <c r="B230" s="427" t="n"/>
      <c r="E230" s="423" t="n">
        <v>44598</v>
      </c>
      <c r="F230" s="343" t="n">
        <v>844.3</v>
      </c>
      <c r="G230" s="222">
        <f>LN(F230/F231)</f>
        <v/>
      </c>
      <c r="H230" s="223" t="n">
        <v>36671.65</v>
      </c>
      <c r="I230" s="224">
        <f>LN(H230/H231)</f>
        <v/>
      </c>
    </row>
    <row r="231" customFormat="1" s="343">
      <c r="B231" s="427" t="n"/>
      <c r="E231" s="423" t="n">
        <v>44591</v>
      </c>
      <c r="F231" s="343" t="n">
        <v>885.15</v>
      </c>
      <c r="G231" s="222">
        <f>LN(F231/F232)</f>
        <v/>
      </c>
      <c r="H231" s="223" t="n">
        <v>37508.4</v>
      </c>
      <c r="I231" s="224">
        <f>LN(H231/H232)</f>
        <v/>
      </c>
    </row>
    <row r="232" customFormat="1" s="343">
      <c r="B232" s="427" t="n"/>
      <c r="E232" s="423" t="n">
        <v>44584</v>
      </c>
      <c r="F232" s="343" t="n">
        <v>854.95</v>
      </c>
      <c r="G232" s="222">
        <f>LN(F232/F233)</f>
        <v/>
      </c>
      <c r="H232" s="223" t="n">
        <v>36188.3</v>
      </c>
      <c r="I232" s="224">
        <f>LN(H232/H233)</f>
        <v/>
      </c>
    </row>
    <row r="233" customFormat="1" s="343">
      <c r="B233" s="427" t="n"/>
      <c r="E233" s="423" t="n">
        <v>44577</v>
      </c>
      <c r="F233" s="343" t="n">
        <v>899.3</v>
      </c>
      <c r="G233" s="222">
        <f>LN(F233/F234)</f>
        <v/>
      </c>
      <c r="H233" s="223" t="n">
        <v>36812.9</v>
      </c>
      <c r="I233" s="224">
        <f>LN(H233/H234)</f>
        <v/>
      </c>
    </row>
    <row r="234" customFormat="1" s="343">
      <c r="B234" s="427" t="n"/>
      <c r="E234" s="423" t="n">
        <v>44570</v>
      </c>
      <c r="F234" s="343" t="n">
        <v>944.2</v>
      </c>
      <c r="G234" s="222">
        <f>LN(F234/F235)</f>
        <v/>
      </c>
      <c r="H234" s="223" t="n">
        <v>37816</v>
      </c>
      <c r="I234" s="224">
        <f>LN(H234/H235)</f>
        <v/>
      </c>
    </row>
    <row r="235" customFormat="1" s="343">
      <c r="B235" s="427" t="n"/>
      <c r="E235" s="423" t="n">
        <v>44563</v>
      </c>
      <c r="F235" s="343" t="n">
        <v>885.5</v>
      </c>
      <c r="G235" s="222">
        <f>LN(F235/F236)</f>
        <v/>
      </c>
      <c r="H235" s="223" t="n">
        <v>37864.45</v>
      </c>
      <c r="I235" s="224">
        <f>LN(H235/H236)</f>
        <v/>
      </c>
    </row>
    <row r="236" customFormat="1" s="343">
      <c r="B236" s="427" t="n"/>
      <c r="E236" s="423" t="n">
        <v>44556</v>
      </c>
      <c r="F236" s="343" t="n">
        <v>898.25</v>
      </c>
      <c r="G236" s="222">
        <f>LN(F236/F237)</f>
        <v/>
      </c>
      <c r="H236" s="223" t="n">
        <v>37579.95</v>
      </c>
      <c r="I236" s="224">
        <f>LN(H236/H237)</f>
        <v/>
      </c>
    </row>
    <row r="237" customFormat="1" s="343">
      <c r="B237" s="427" t="n"/>
      <c r="E237" s="423" t="n">
        <v>44549</v>
      </c>
      <c r="F237" s="343" t="n">
        <v>886.35</v>
      </c>
      <c r="G237" s="222">
        <f>LN(F237/F238)</f>
        <v/>
      </c>
      <c r="H237" s="223" t="n">
        <v>36913.75</v>
      </c>
      <c r="I237" s="224">
        <f>LN(H237/H238)</f>
        <v/>
      </c>
    </row>
    <row r="238" customFormat="1" s="343">
      <c r="B238" s="427" t="n"/>
      <c r="E238" s="423" t="n">
        <v>44542</v>
      </c>
      <c r="F238" s="343" t="n">
        <v>882.8</v>
      </c>
      <c r="G238" s="222">
        <f>LN(F238/F239)</f>
        <v/>
      </c>
      <c r="H238" s="223" t="n">
        <v>36438</v>
      </c>
      <c r="I238" s="224">
        <f>LN(H238/H239)</f>
        <v/>
      </c>
    </row>
    <row r="239" customFormat="1" s="343">
      <c r="B239" s="427" t="n"/>
      <c r="E239" s="423" t="n">
        <v>44535</v>
      </c>
      <c r="F239" s="343" t="n">
        <v>925.3</v>
      </c>
      <c r="G239" s="222">
        <f>LN(F239/F240)</f>
        <v/>
      </c>
      <c r="H239" s="223" t="n">
        <v>38189.55</v>
      </c>
      <c r="I239" s="224">
        <f>LN(H239/H240)</f>
        <v/>
      </c>
    </row>
    <row r="240" customFormat="1" s="343">
      <c r="B240" s="427" t="n"/>
      <c r="E240" s="423" t="n">
        <v>44528</v>
      </c>
      <c r="F240" s="343" t="n">
        <v>895.15</v>
      </c>
      <c r="G240" s="222">
        <f>LN(F240/F241)</f>
        <v/>
      </c>
      <c r="H240" s="223" t="n">
        <v>37498.1</v>
      </c>
      <c r="I240" s="224">
        <f>LN(H240/H241)</f>
        <v/>
      </c>
    </row>
    <row r="241" customFormat="1" s="343">
      <c r="B241" s="427" t="n"/>
      <c r="E241" s="423" t="n">
        <v>44521</v>
      </c>
      <c r="F241" s="343" t="n">
        <v>885.7</v>
      </c>
      <c r="G241" s="222">
        <f>LN(F241/F242)</f>
        <v/>
      </c>
      <c r="H241" s="223" t="n">
        <v>37547.15</v>
      </c>
      <c r="I241" s="224">
        <f>LN(H241/H242)</f>
        <v/>
      </c>
    </row>
    <row r="242" customFormat="1" s="343">
      <c r="B242" s="427" t="n"/>
      <c r="E242" s="423" t="n">
        <v>44514</v>
      </c>
      <c r="F242" s="343" t="n">
        <v>920.05</v>
      </c>
      <c r="G242" s="222">
        <f>LN(F242/F243)</f>
        <v/>
      </c>
      <c r="H242" s="223" t="n">
        <v>38866.5</v>
      </c>
      <c r="I242" s="224">
        <f>LN(H242/H243)</f>
        <v/>
      </c>
    </row>
    <row r="243" customFormat="1" s="343">
      <c r="B243" s="427" t="n"/>
      <c r="E243" s="423" t="n">
        <v>44507</v>
      </c>
      <c r="F243" s="343" t="n">
        <v>958.6</v>
      </c>
      <c r="G243" s="222">
        <f>LN(F243/F244)</f>
        <v/>
      </c>
      <c r="H243" s="223" t="n">
        <v>38912.75</v>
      </c>
      <c r="I243" s="224">
        <f>LN(H243/H244)</f>
        <v/>
      </c>
    </row>
    <row r="244" customFormat="1" s="343">
      <c r="B244" s="427" t="n"/>
      <c r="E244" s="423" t="n">
        <v>44500</v>
      </c>
      <c r="F244" s="343" t="n">
        <v>976.2</v>
      </c>
      <c r="G244" s="222">
        <f>LN(F244/F245)</f>
        <v/>
      </c>
      <c r="H244" s="223" t="n">
        <v>38710.1</v>
      </c>
      <c r="I244" s="224">
        <f>LN(H244/H245)</f>
        <v/>
      </c>
    </row>
    <row r="245" customFormat="1" s="343">
      <c r="B245" s="427" t="n"/>
      <c r="E245" s="423" t="n">
        <v>44493</v>
      </c>
      <c r="F245" s="343" t="n">
        <v>947.35</v>
      </c>
      <c r="G245" s="222">
        <f>LN(F245/F246)</f>
        <v/>
      </c>
      <c r="H245" s="223" t="n">
        <v>38222.1</v>
      </c>
      <c r="I245" s="224">
        <f>LN(H245/H246)</f>
        <v/>
      </c>
    </row>
    <row r="246" customFormat="1" s="343">
      <c r="B246" s="427" t="n"/>
      <c r="E246" s="423" t="n">
        <v>44486</v>
      </c>
      <c r="F246" s="343" t="n">
        <v>833.9</v>
      </c>
      <c r="G246" s="222">
        <f>LN(F246/F247)</f>
        <v/>
      </c>
      <c r="H246" s="223" t="n">
        <v>38874.8</v>
      </c>
      <c r="I246" s="224">
        <f>LN(H246/H247)</f>
        <v/>
      </c>
    </row>
    <row r="247" customFormat="1" s="343">
      <c r="B247" s="427" t="n"/>
      <c r="E247" s="423" t="n">
        <v>44479</v>
      </c>
      <c r="F247" s="343" t="n">
        <v>888.6</v>
      </c>
      <c r="G247" s="222">
        <f>LN(F247/F248)</f>
        <v/>
      </c>
      <c r="H247" s="223" t="n">
        <v>41377.2</v>
      </c>
      <c r="I247" s="224">
        <f>LN(H247/H248)</f>
        <v/>
      </c>
    </row>
    <row r="248" customFormat="1" s="343">
      <c r="B248" s="427" t="n"/>
      <c r="E248" s="423" t="n">
        <v>44472</v>
      </c>
      <c r="F248" s="343" t="n">
        <v>914.35</v>
      </c>
      <c r="G248" s="222">
        <f>LN(F248/F249)</f>
        <v/>
      </c>
      <c r="H248" s="223" t="n">
        <v>39993.35</v>
      </c>
      <c r="I248" s="224">
        <f>LN(H248/H249)</f>
        <v/>
      </c>
    </row>
    <row r="249" customFormat="1" s="343">
      <c r="B249" s="427" t="n"/>
      <c r="E249" s="423" t="n">
        <v>44465</v>
      </c>
      <c r="F249" s="343" t="n">
        <v>865.15</v>
      </c>
      <c r="G249" s="222">
        <f>LN(F249/F250)</f>
        <v/>
      </c>
      <c r="H249" s="223" t="n">
        <v>40399</v>
      </c>
      <c r="I249" s="224">
        <f>LN(H249/H250)</f>
        <v/>
      </c>
    </row>
    <row r="250" customFormat="1" s="343">
      <c r="B250" s="427" t="n"/>
      <c r="E250" s="423" t="n">
        <v>44458</v>
      </c>
      <c r="F250" s="343" t="n">
        <v>827.7</v>
      </c>
      <c r="G250" s="222">
        <f>LN(F250/F251)</f>
        <v/>
      </c>
      <c r="H250" s="223" t="n">
        <v>41090.9</v>
      </c>
      <c r="I250" s="224">
        <f>LN(H250/H251)</f>
        <v/>
      </c>
    </row>
    <row r="251" customFormat="1" s="343">
      <c r="B251" s="427" t="n"/>
      <c r="E251" s="423" t="n">
        <v>44451</v>
      </c>
      <c r="F251" s="343" t="n">
        <v>741.75</v>
      </c>
      <c r="G251" s="222">
        <f>LN(F251/F252)</f>
        <v/>
      </c>
      <c r="H251" s="223" t="n">
        <v>40798.9</v>
      </c>
      <c r="I251" s="224">
        <f>LN(H251/H252)</f>
        <v/>
      </c>
    </row>
    <row r="252" customFormat="1" s="343">
      <c r="B252" s="427" t="n"/>
      <c r="E252" s="423" t="n">
        <v>44444</v>
      </c>
      <c r="F252" s="343" t="n">
        <v>755.4</v>
      </c>
      <c r="G252" s="222">
        <f>LN(F252/F253)</f>
        <v/>
      </c>
      <c r="H252" s="223" t="n">
        <v>40577.95</v>
      </c>
      <c r="I252" s="224">
        <f>LN(H252/H253)</f>
        <v/>
      </c>
    </row>
    <row r="253" customFormat="1" s="343">
      <c r="B253" s="427" t="n"/>
      <c r="E253" s="423" t="n">
        <v>44437</v>
      </c>
      <c r="F253" s="343" t="n">
        <v>752.95</v>
      </c>
      <c r="G253" s="222">
        <f>LN(F253/F254)</f>
        <v/>
      </c>
      <c r="H253" s="223" t="n">
        <v>40226.25</v>
      </c>
      <c r="I253" s="224">
        <f>LN(H253/H254)</f>
        <v/>
      </c>
    </row>
    <row r="254" customFormat="1" s="343">
      <c r="B254" s="427" t="n"/>
      <c r="E254" s="423" t="n">
        <v>44430</v>
      </c>
      <c r="F254" s="343" t="n">
        <v>700.45</v>
      </c>
      <c r="G254" s="222">
        <f>LN(F254/F255)</f>
        <v/>
      </c>
      <c r="H254" s="223" t="n">
        <v>38819.5</v>
      </c>
      <c r="I254" s="224">
        <f>LN(H254/H255)</f>
        <v/>
      </c>
    </row>
    <row r="255" customFormat="1" s="343">
      <c r="B255" s="427" t="n"/>
      <c r="E255" s="423" t="n">
        <v>44423</v>
      </c>
      <c r="F255" s="343" t="n">
        <v>703.9</v>
      </c>
      <c r="G255" s="222">
        <f>LN(F255/F256)</f>
        <v/>
      </c>
      <c r="H255" s="223" t="n">
        <v>38596.05</v>
      </c>
      <c r="I255" s="224">
        <f>LN(H255/H256)</f>
        <v/>
      </c>
    </row>
    <row r="256" customFormat="1" s="343">
      <c r="B256" s="427" t="n"/>
      <c r="E256" s="423" t="n">
        <v>44416</v>
      </c>
      <c r="F256" s="343" t="n">
        <v>660.5</v>
      </c>
      <c r="G256" s="222">
        <f>LN(F256/F257)</f>
        <v/>
      </c>
      <c r="H256" s="223" t="n">
        <v>36842.05</v>
      </c>
      <c r="I256" s="224">
        <f>LN(H256/H257)</f>
        <v/>
      </c>
    </row>
    <row r="257" customFormat="1" s="343">
      <c r="B257" s="427" t="n"/>
      <c r="E257" s="423" t="n">
        <v>44409</v>
      </c>
      <c r="F257" s="343" t="n">
        <v>647.85</v>
      </c>
      <c r="G257" s="222">
        <f>LN(F257/F258)</f>
        <v/>
      </c>
      <c r="H257" s="223" t="n">
        <v>36669.8</v>
      </c>
      <c r="I257" s="224">
        <f>LN(H257/H258)</f>
        <v/>
      </c>
    </row>
    <row r="258" customFormat="1" s="343">
      <c r="B258" s="427" t="n"/>
      <c r="E258" s="423" t="n">
        <v>44402</v>
      </c>
      <c r="F258" s="343" t="n">
        <v>640.75</v>
      </c>
      <c r="G258" s="222">
        <f>LN(F258/F259)</f>
        <v/>
      </c>
      <c r="H258" s="223" t="n">
        <v>36051.9</v>
      </c>
      <c r="I258" s="224">
        <f>LN(H258/H259)</f>
        <v/>
      </c>
    </row>
    <row r="259" customFormat="1" s="343">
      <c r="B259" s="427" t="n"/>
      <c r="E259" s="423" t="n">
        <v>44395</v>
      </c>
      <c r="F259" s="343" t="n">
        <v>683.45</v>
      </c>
      <c r="G259" s="222">
        <f>LN(F259/F260)</f>
        <v/>
      </c>
      <c r="H259" s="223" t="n">
        <v>36558.65</v>
      </c>
      <c r="I259" s="224">
        <f>LN(H259/H260)</f>
        <v/>
      </c>
    </row>
    <row r="260" customFormat="1" s="343">
      <c r="B260" s="427" t="n"/>
      <c r="E260" s="423" t="n">
        <v>44388</v>
      </c>
      <c r="F260" s="343" t="n">
        <v>667.4</v>
      </c>
      <c r="G260" s="222">
        <f>LN(F260/F261)</f>
        <v/>
      </c>
      <c r="H260" s="223" t="n">
        <v>36253.55</v>
      </c>
      <c r="I260" s="224">
        <f>LN(H260/H261)</f>
        <v/>
      </c>
    </row>
    <row r="261" customFormat="1" s="343">
      <c r="B261" s="427" t="n"/>
      <c r="E261" s="423" t="n">
        <v>44381</v>
      </c>
      <c r="F261" s="343" t="n">
        <v>655.25</v>
      </c>
      <c r="G261" s="222">
        <f>LN(F261/F262)</f>
        <v/>
      </c>
      <c r="H261" s="223" t="n">
        <v>36184.4</v>
      </c>
      <c r="I261" s="224">
        <f>LN(H261/H262)</f>
        <v/>
      </c>
    </row>
    <row r="262" customFormat="1" s="343">
      <c r="B262" s="427" t="n"/>
      <c r="E262" s="423" t="n">
        <v>44374</v>
      </c>
      <c r="F262" s="343" t="n">
        <v>662.45</v>
      </c>
      <c r="G262" s="222">
        <f>LN(F262/F263)</f>
        <v/>
      </c>
      <c r="H262" s="223" t="n">
        <v>36216.7</v>
      </c>
      <c r="I262" s="224">
        <f>LN(H262/H263)</f>
        <v/>
      </c>
    </row>
    <row r="263" customFormat="1" s="343">
      <c r="B263" s="427" t="n"/>
      <c r="E263" s="423" t="n">
        <v>44367</v>
      </c>
      <c r="F263" s="343" t="n">
        <v>664.2</v>
      </c>
      <c r="G263" s="222">
        <f>LN(F263/F264)</f>
        <v/>
      </c>
      <c r="H263" s="223" t="n">
        <v>36006.55</v>
      </c>
      <c r="I263" s="224">
        <f>LN(H263/H264)</f>
        <v/>
      </c>
    </row>
    <row r="264" customFormat="1" s="343">
      <c r="B264" s="427" t="n"/>
      <c r="E264" s="423" t="n">
        <v>44360</v>
      </c>
      <c r="F264" s="343" t="n">
        <v>672.75</v>
      </c>
      <c r="G264" s="222">
        <f>LN(F264/F265)</f>
        <v/>
      </c>
      <c r="H264" s="223" t="n">
        <v>36287.15</v>
      </c>
      <c r="I264" s="224">
        <f>LN(H264/H265)</f>
        <v/>
      </c>
    </row>
    <row r="265" customFormat="1" s="343">
      <c r="B265" s="427" t="n"/>
      <c r="E265" s="423" t="n">
        <v>44353</v>
      </c>
      <c r="F265" s="343" t="n">
        <v>646.05</v>
      </c>
      <c r="G265" s="222">
        <f>LN(F265/F266)</f>
        <v/>
      </c>
      <c r="H265" s="223" t="n">
        <v>35646.95</v>
      </c>
      <c r="I265" s="224">
        <f>LN(H265/H266)</f>
        <v/>
      </c>
    </row>
    <row r="266" customFormat="1" s="343">
      <c r="B266" s="427" t="n"/>
      <c r="E266" s="423" t="n">
        <v>44346</v>
      </c>
      <c r="F266" s="343" t="n">
        <v>629.35</v>
      </c>
      <c r="G266" s="222">
        <f>LN(F266/F267)</f>
        <v/>
      </c>
      <c r="H266" s="223" t="n">
        <v>35138</v>
      </c>
      <c r="I266" s="224">
        <f>LN(H266/H267)</f>
        <v/>
      </c>
    </row>
    <row r="267" customFormat="1" s="343">
      <c r="B267" s="427" t="n"/>
      <c r="E267" s="423" t="n">
        <v>44339</v>
      </c>
      <c r="F267" s="343" t="n">
        <v>611.25</v>
      </c>
      <c r="G267" s="222">
        <f>LN(F267/F268)</f>
        <v/>
      </c>
      <c r="H267" s="223" t="n">
        <v>34890.5</v>
      </c>
      <c r="I267" s="224">
        <f>LN(H267/H268)</f>
        <v/>
      </c>
    </row>
    <row r="268" customFormat="1" s="343">
      <c r="B268" s="427" t="n"/>
      <c r="E268" s="423" t="n">
        <v>44332</v>
      </c>
      <c r="F268" s="343" t="n">
        <v>572.25</v>
      </c>
      <c r="G268" s="222">
        <f>LN(F268/F269)</f>
        <v/>
      </c>
      <c r="H268" s="223" t="n">
        <v>34690.55</v>
      </c>
      <c r="I268" s="224">
        <f>LN(H268/H269)</f>
        <v/>
      </c>
    </row>
    <row r="269" customFormat="1" s="343">
      <c r="B269" s="427" t="n"/>
      <c r="E269" s="423" t="n">
        <v>44325</v>
      </c>
      <c r="F269" s="343" t="n">
        <v>565.3</v>
      </c>
      <c r="G269" s="222">
        <f>LN(F269/F270)</f>
        <v/>
      </c>
      <c r="H269" s="223" t="n">
        <v>34781.5</v>
      </c>
      <c r="I269" s="224">
        <f>LN(H269/H270)</f>
        <v/>
      </c>
    </row>
    <row r="270" customFormat="1" s="343">
      <c r="B270" s="427" t="n"/>
      <c r="E270" s="423" t="n">
        <v>44318</v>
      </c>
      <c r="F270" s="343" t="n">
        <v>547.95</v>
      </c>
      <c r="G270" s="222">
        <f>LN(F270/F271)</f>
        <v/>
      </c>
      <c r="H270" s="223" t="n">
        <v>34123.5</v>
      </c>
      <c r="I270" s="224">
        <f>LN(H270/H271)</f>
        <v/>
      </c>
    </row>
    <row r="271" customFormat="1" s="343">
      <c r="B271" s="427" t="n"/>
      <c r="E271" s="423" t="n">
        <v>44311</v>
      </c>
      <c r="F271" s="343" t="n">
        <v>519.55</v>
      </c>
      <c r="G271" s="222">
        <f>LN(F271/F272)</f>
        <v/>
      </c>
      <c r="H271" s="223" t="n">
        <v>33623.45</v>
      </c>
      <c r="I271" s="224">
        <f>LN(H271/H272)</f>
        <v/>
      </c>
    </row>
    <row r="272" customFormat="1" s="343">
      <c r="B272" s="427" t="n"/>
      <c r="E272" s="423" t="n">
        <v>44304</v>
      </c>
      <c r="F272" s="343" t="n">
        <v>522.15</v>
      </c>
      <c r="G272" s="222">
        <f>LN(F272/F273)</f>
        <v/>
      </c>
      <c r="H272" s="223" t="n">
        <v>33726.1</v>
      </c>
      <c r="I272" s="224">
        <f>LN(H272/H273)</f>
        <v/>
      </c>
    </row>
    <row r="273" customFormat="1" s="343">
      <c r="B273" s="427" t="n"/>
      <c r="E273" s="423" t="n">
        <v>44297</v>
      </c>
      <c r="F273" s="343" t="n">
        <v>519.05</v>
      </c>
      <c r="G273" s="222">
        <f>LN(F273/F274)</f>
        <v/>
      </c>
      <c r="H273" s="223" t="n">
        <v>34853.15</v>
      </c>
      <c r="I273" s="224">
        <f>LN(H273/H274)</f>
        <v/>
      </c>
    </row>
    <row r="274" customFormat="1" s="343">
      <c r="B274" s="427" t="n"/>
      <c r="E274" s="425" t="n">
        <v>44290</v>
      </c>
      <c r="F274" s="428" t="n">
        <v>537.2</v>
      </c>
      <c r="G274" s="227" t="n"/>
      <c r="H274" s="228" t="n">
        <v>35253.1</v>
      </c>
      <c r="I274" s="229" t="n"/>
    </row>
    <row r="275" customFormat="1" s="343">
      <c r="B275" s="427" t="n"/>
    </row>
    <row r="276" customFormat="1" s="343">
      <c r="B276" s="427" t="n"/>
    </row>
    <row r="277" customFormat="1" s="343">
      <c r="B277" s="427" t="n"/>
    </row>
    <row r="278" customFormat="1" s="343">
      <c r="B278" s="427" t="n"/>
    </row>
    <row r="279" customFormat="1" s="343">
      <c r="B279" s="427" t="n"/>
    </row>
    <row r="280" customFormat="1" s="343">
      <c r="B280" s="427" t="n"/>
    </row>
    <row r="281" customFormat="1" s="343">
      <c r="B281" s="427" t="n"/>
    </row>
    <row r="282" customFormat="1" s="343">
      <c r="B282" s="427" t="n"/>
    </row>
    <row r="283" customFormat="1" s="343">
      <c r="B283" s="427" t="n"/>
    </row>
    <row r="284" customFormat="1" s="343">
      <c r="B284" s="427" t="n"/>
    </row>
    <row r="285" customFormat="1" s="343">
      <c r="B285" s="427" t="n"/>
    </row>
    <row r="286" customFormat="1" s="343">
      <c r="B286" s="427" t="n"/>
    </row>
    <row r="287" customFormat="1" s="343">
      <c r="B287" s="427" t="n"/>
    </row>
    <row r="288" customFormat="1" s="343">
      <c r="B288" s="427" t="n"/>
    </row>
    <row r="289" customFormat="1" s="343">
      <c r="B289" s="427" t="n"/>
    </row>
    <row r="290" customFormat="1" s="343">
      <c r="B290" s="427" t="n"/>
    </row>
    <row r="291" customFormat="1" s="343">
      <c r="B291" s="427" t="n"/>
    </row>
    <row r="292" customFormat="1" s="343">
      <c r="B292" s="427" t="n"/>
    </row>
    <row r="293" customFormat="1" s="343">
      <c r="B293" s="427" t="n"/>
    </row>
    <row r="294" customFormat="1" s="343">
      <c r="B294" s="427" t="n"/>
    </row>
    <row r="295" customFormat="1" s="343">
      <c r="B295" s="427" t="n"/>
    </row>
    <row r="296" customFormat="1" s="343">
      <c r="B296" s="427" t="n"/>
    </row>
    <row r="297" customFormat="1" s="343">
      <c r="B297" s="427" t="n"/>
    </row>
    <row r="298" customFormat="1" s="343">
      <c r="B298" s="427" t="n"/>
    </row>
    <row r="299" customFormat="1" s="343">
      <c r="B299" s="427" t="n"/>
    </row>
    <row r="300" customFormat="1" s="343">
      <c r="B300" s="427" t="n"/>
    </row>
    <row r="301" customFormat="1" s="343">
      <c r="B301" s="427" t="n"/>
    </row>
    <row r="302" customFormat="1" s="343">
      <c r="B302" s="427" t="n"/>
    </row>
    <row r="303" customFormat="1" s="343">
      <c r="B303" s="427" t="n"/>
    </row>
    <row r="304" customFormat="1" s="343">
      <c r="B304" s="427" t="n"/>
    </row>
    <row r="305" customFormat="1" s="343">
      <c r="B305" s="427" t="n"/>
    </row>
    <row r="306" customFormat="1" s="343">
      <c r="B306" s="427" t="n"/>
    </row>
    <row r="307" customFormat="1" s="343">
      <c r="B307" s="427" t="n"/>
    </row>
    <row r="308" customFormat="1" s="343">
      <c r="B308" s="427" t="n"/>
    </row>
    <row r="309" customFormat="1" s="343">
      <c r="B309" s="427" t="n"/>
    </row>
    <row r="310" customFormat="1" s="343">
      <c r="B310" s="427" t="n"/>
    </row>
    <row r="311" customFormat="1" s="343">
      <c r="B311" s="427" t="n"/>
    </row>
    <row r="312" customFormat="1" s="343">
      <c r="B312" s="427" t="n"/>
    </row>
    <row r="313" customFormat="1" s="343">
      <c r="B313" s="427" t="n"/>
    </row>
    <row r="314" customFormat="1" s="343">
      <c r="B314" s="427" t="n"/>
    </row>
    <row r="315" customFormat="1" s="343">
      <c r="B315" s="427" t="n"/>
    </row>
    <row r="316" customFormat="1" s="343">
      <c r="B316" s="427" t="n"/>
    </row>
    <row r="317" customFormat="1" s="343">
      <c r="B317" s="427" t="n"/>
    </row>
    <row r="318" customFormat="1" s="343">
      <c r="B318" s="427" t="n"/>
    </row>
    <row r="319" customFormat="1" s="343">
      <c r="B319" s="427" t="n"/>
    </row>
    <row r="320" customFormat="1" s="343">
      <c r="B320" s="427" t="n"/>
    </row>
    <row r="321" customFormat="1" s="343">
      <c r="B321" s="427" t="n"/>
    </row>
    <row r="322" customFormat="1" s="343">
      <c r="B322" s="427" t="n"/>
    </row>
    <row r="323" customFormat="1" s="343">
      <c r="B323" s="427" t="n"/>
    </row>
    <row r="324" customFormat="1" s="343">
      <c r="B324" s="427" t="n"/>
    </row>
    <row r="325" customFormat="1" s="343">
      <c r="B325" s="427" t="n"/>
    </row>
    <row r="326" customFormat="1" s="343">
      <c r="B326" s="427" t="n"/>
    </row>
    <row r="327" customFormat="1" s="343">
      <c r="B327" s="427" t="n"/>
    </row>
    <row r="328" customFormat="1" s="343">
      <c r="B328" s="427" t="n"/>
    </row>
    <row r="329" customFormat="1" s="343">
      <c r="B329" s="427" t="n"/>
    </row>
    <row r="330" customFormat="1" s="343">
      <c r="B330" s="427" t="n"/>
    </row>
    <row r="331" customFormat="1" s="343">
      <c r="B331" s="427" t="n"/>
    </row>
    <row r="332" customFormat="1" s="343">
      <c r="B332" s="427" t="n"/>
    </row>
    <row r="333" customFormat="1" s="343">
      <c r="B333" s="427" t="n"/>
    </row>
    <row r="334" customFormat="1" s="343">
      <c r="B334" s="427" t="n"/>
    </row>
    <row r="335" customFormat="1" s="343">
      <c r="B335" s="427" t="n"/>
    </row>
    <row r="336" customFormat="1" s="343">
      <c r="B336" s="427" t="n"/>
    </row>
    <row r="337" customFormat="1" s="343">
      <c r="B337" s="427" t="n"/>
    </row>
    <row r="338" customFormat="1" s="343">
      <c r="B338" s="427" t="n"/>
    </row>
    <row r="339" customFormat="1" s="343">
      <c r="B339" s="427" t="n"/>
    </row>
    <row r="340" customFormat="1" s="343">
      <c r="B340" s="427" t="n"/>
    </row>
    <row r="341" customFormat="1" s="343">
      <c r="B341" s="427" t="n"/>
    </row>
    <row r="342" customFormat="1" s="343">
      <c r="B342" s="427" t="n"/>
    </row>
    <row r="343" customFormat="1" s="343">
      <c r="B343" s="427" t="n"/>
    </row>
    <row r="344" customFormat="1" s="343">
      <c r="B344" s="427" t="n"/>
    </row>
    <row r="345" customFormat="1" s="343">
      <c r="B345" s="427" t="n"/>
    </row>
    <row r="346" customFormat="1" s="343">
      <c r="B346" s="427" t="n"/>
    </row>
    <row r="347" customFormat="1" s="343">
      <c r="B347" s="427" t="n"/>
    </row>
    <row r="348" customFormat="1" s="343">
      <c r="B348" s="427" t="n"/>
    </row>
    <row r="349" customFormat="1" s="343">
      <c r="B349" s="427" t="n"/>
    </row>
    <row r="350" customFormat="1" s="343">
      <c r="B350" s="427" t="n"/>
    </row>
    <row r="351" customFormat="1" s="343">
      <c r="B351" s="427" t="n"/>
    </row>
    <row r="352" customFormat="1" s="343">
      <c r="B352" s="427" t="n"/>
    </row>
    <row r="353" customFormat="1" s="343">
      <c r="B353" s="427" t="n"/>
    </row>
    <row r="354" customFormat="1" s="343">
      <c r="B354" s="427" t="n"/>
    </row>
    <row r="355" customFormat="1" s="343">
      <c r="B355" s="427" t="n"/>
    </row>
    <row r="356" customFormat="1" s="343">
      <c r="B356" s="427" t="n"/>
    </row>
    <row r="357" customFormat="1" s="343">
      <c r="B357" s="427" t="n"/>
    </row>
    <row r="358" customFormat="1" s="343">
      <c r="B358" s="427" t="n"/>
    </row>
    <row r="359" customFormat="1" s="343">
      <c r="B359" s="427" t="n"/>
    </row>
    <row r="360" customFormat="1" s="343">
      <c r="B360" s="427" t="n"/>
    </row>
    <row r="361" customFormat="1" s="343">
      <c r="B361" s="427" t="n"/>
    </row>
    <row r="362" customFormat="1" s="343">
      <c r="B362" s="427" t="n"/>
    </row>
    <row r="363" customFormat="1" s="343">
      <c r="B363" s="427" t="n"/>
    </row>
    <row r="364" customFormat="1" s="343">
      <c r="B364" s="427" t="n"/>
    </row>
    <row r="365" customFormat="1" s="343">
      <c r="B365" s="427" t="n"/>
    </row>
    <row r="366" customFormat="1" s="343">
      <c r="B366" s="427" t="n"/>
    </row>
    <row r="367" customFormat="1" s="343">
      <c r="B367" s="427" t="n"/>
    </row>
    <row r="368" customFormat="1" s="343">
      <c r="B368" s="427" t="n"/>
    </row>
    <row r="369" customFormat="1" s="343">
      <c r="B369" s="427" t="n"/>
    </row>
    <row r="370" customFormat="1" s="343">
      <c r="B370" s="427" t="n"/>
    </row>
    <row r="371" customFormat="1" s="343">
      <c r="B371" s="427" t="n"/>
    </row>
    <row r="372" customFormat="1" s="343">
      <c r="B372" s="427" t="n"/>
    </row>
    <row r="373" customFormat="1" s="343">
      <c r="B373" s="427" t="n"/>
    </row>
    <row r="374" customFormat="1" s="343">
      <c r="B374" s="427" t="n"/>
    </row>
    <row r="375" customFormat="1" s="343">
      <c r="B375" s="427" t="n"/>
    </row>
    <row r="376" customFormat="1" s="343">
      <c r="B376" s="427" t="n"/>
    </row>
    <row r="377" customFormat="1" s="343">
      <c r="B377" s="427" t="n"/>
    </row>
    <row r="378" customFormat="1" s="343">
      <c r="B378" s="427" t="n"/>
    </row>
    <row r="379" customFormat="1" s="343">
      <c r="B379" s="427" t="n"/>
    </row>
    <row r="380" customFormat="1" s="343">
      <c r="B380" s="427" t="n"/>
    </row>
    <row r="381" customFormat="1" s="343">
      <c r="B381" s="427" t="n"/>
    </row>
    <row r="382" customFormat="1" s="343">
      <c r="B382" s="427" t="n"/>
    </row>
    <row r="383" customFormat="1" s="343">
      <c r="B383" s="427" t="n"/>
    </row>
    <row r="384" customFormat="1" s="343">
      <c r="B384" s="427" t="n"/>
    </row>
    <row r="385" customFormat="1" s="343">
      <c r="B385" s="427" t="n"/>
    </row>
    <row r="386" customFormat="1" s="343">
      <c r="B386" s="427" t="n"/>
    </row>
    <row r="387" customFormat="1" s="343">
      <c r="B387" s="427" t="n"/>
    </row>
    <row r="388" customFormat="1" s="343">
      <c r="B388" s="427" t="n"/>
    </row>
    <row r="389" customFormat="1" s="343">
      <c r="B389" s="427" t="n"/>
    </row>
    <row r="390" customFormat="1" s="343">
      <c r="B390" s="427" t="n"/>
    </row>
    <row r="391" customFormat="1" s="343">
      <c r="B391" s="427" t="n"/>
    </row>
    <row r="392" customFormat="1" s="343">
      <c r="B392" s="427" t="n"/>
    </row>
    <row r="393" customFormat="1" s="343">
      <c r="B393" s="427" t="n"/>
    </row>
    <row r="394" customFormat="1" s="343">
      <c r="B394" s="427" t="n"/>
    </row>
    <row r="395" customFormat="1" s="343">
      <c r="B395" s="427" t="n"/>
    </row>
    <row r="396" customFormat="1" s="343">
      <c r="B396" s="427" t="n"/>
    </row>
    <row r="397" customFormat="1" s="343">
      <c r="B397" s="427" t="n"/>
    </row>
    <row r="398" customFormat="1" s="343">
      <c r="B398" s="427" t="n"/>
    </row>
    <row r="399" customFormat="1" s="343">
      <c r="B399" s="427" t="n"/>
    </row>
    <row r="400" customFormat="1" s="343">
      <c r="B400" s="427" t="n"/>
    </row>
    <row r="401" customFormat="1" s="343">
      <c r="B401" s="427" t="n"/>
    </row>
    <row r="402" customFormat="1" s="343">
      <c r="B402" s="427" t="n"/>
    </row>
    <row r="403" customFormat="1" s="343">
      <c r="B403" s="427" t="n"/>
    </row>
    <row r="404" customFormat="1" s="343">
      <c r="B404" s="427" t="n"/>
    </row>
    <row r="405" customFormat="1" s="343">
      <c r="B405" s="427" t="n"/>
    </row>
    <row r="406" customFormat="1" s="343">
      <c r="B406" s="427" t="n"/>
    </row>
    <row r="407" customFormat="1" s="343">
      <c r="B407" s="427" t="n"/>
    </row>
    <row r="408" customFormat="1" s="343">
      <c r="B408" s="427" t="n"/>
    </row>
    <row r="409" customFormat="1" s="343">
      <c r="B409" s="427" t="n"/>
    </row>
    <row r="410" customFormat="1" s="343">
      <c r="B410" s="427" t="n"/>
    </row>
    <row r="411" customFormat="1" s="343">
      <c r="B411" s="427" t="n"/>
    </row>
    <row r="412" customFormat="1" s="343">
      <c r="B412" s="427" t="n"/>
    </row>
    <row r="413" customFormat="1" s="343">
      <c r="B413" s="427" t="n"/>
    </row>
    <row r="414" customFormat="1" s="343">
      <c r="B414" s="427" t="n"/>
    </row>
    <row r="415" customFormat="1" s="343">
      <c r="B415" s="427" t="n"/>
    </row>
    <row r="416" customFormat="1" s="343">
      <c r="B416" s="427" t="n"/>
    </row>
    <row r="417" customFormat="1" s="343">
      <c r="B417" s="427" t="n"/>
    </row>
    <row r="418" customFormat="1" s="343">
      <c r="B418" s="427" t="n"/>
    </row>
    <row r="419" customFormat="1" s="343">
      <c r="B419" s="427" t="n"/>
    </row>
    <row r="420" customFormat="1" s="343">
      <c r="B420" s="427" t="n"/>
    </row>
    <row r="421" customFormat="1" s="343">
      <c r="B421" s="427" t="n"/>
    </row>
    <row r="422" customFormat="1" s="343">
      <c r="B422" s="427" t="n"/>
    </row>
    <row r="423" customFormat="1" s="343">
      <c r="B423" s="427" t="n"/>
    </row>
    <row r="424" customFormat="1" s="343">
      <c r="B424" s="427" t="n"/>
    </row>
    <row r="425" customFormat="1" s="343">
      <c r="B425" s="427" t="n"/>
    </row>
    <row r="426" customFormat="1" s="343">
      <c r="B426" s="427" t="n"/>
    </row>
    <row r="427" customFormat="1" s="343">
      <c r="B427" s="427" t="n"/>
    </row>
    <row r="428" customFormat="1" s="343">
      <c r="B428" s="427" t="n"/>
    </row>
    <row r="429" customFormat="1" s="343">
      <c r="B429" s="427" t="n"/>
    </row>
    <row r="430" customFormat="1" s="343">
      <c r="B430" s="427" t="n"/>
    </row>
    <row r="431" customFormat="1" s="343">
      <c r="B431" s="427" t="n"/>
    </row>
    <row r="432" customFormat="1" s="343">
      <c r="B432" s="427" t="n"/>
    </row>
    <row r="433" customFormat="1" s="343">
      <c r="B433" s="427" t="n"/>
    </row>
    <row r="434" customFormat="1" s="343">
      <c r="B434" s="427" t="n"/>
    </row>
    <row r="435" customFormat="1" s="343">
      <c r="B435" s="427" t="n"/>
    </row>
    <row r="436" customFormat="1" s="343">
      <c r="B436" s="427" t="n"/>
    </row>
    <row r="437" customFormat="1" s="343">
      <c r="B437" s="427" t="n"/>
    </row>
    <row r="438" customFormat="1" s="343">
      <c r="B438" s="427" t="n"/>
    </row>
    <row r="439" customFormat="1" s="343">
      <c r="B439" s="427" t="n"/>
    </row>
    <row r="440" customFormat="1" s="343">
      <c r="B440" s="427" t="n"/>
    </row>
    <row r="441" customFormat="1" s="343">
      <c r="B441" s="427" t="n"/>
    </row>
    <row r="442" customFormat="1" s="343">
      <c r="B442" s="427" t="n"/>
    </row>
    <row r="443" customFormat="1" s="343">
      <c r="B443" s="427" t="n"/>
    </row>
    <row r="444" customFormat="1" s="343">
      <c r="B444" s="427" t="n"/>
    </row>
    <row r="445" customFormat="1" s="343">
      <c r="B445" s="427" t="n"/>
    </row>
    <row r="446" customFormat="1" s="343">
      <c r="B446" s="427" t="n"/>
    </row>
    <row r="447" customFormat="1" s="343">
      <c r="B447" s="427" t="n"/>
    </row>
    <row r="448" customFormat="1" s="343">
      <c r="B448" s="427" t="n"/>
    </row>
    <row r="449" customFormat="1" s="343">
      <c r="B449" s="427" t="n"/>
    </row>
    <row r="450" customFormat="1" s="343">
      <c r="B450" s="427" t="n"/>
    </row>
    <row r="451" customFormat="1" s="343">
      <c r="B451" s="427" t="n"/>
    </row>
    <row r="452" customFormat="1" s="343">
      <c r="B452" s="427" t="n"/>
    </row>
    <row r="453" customFormat="1" s="343">
      <c r="B453" s="427" t="n"/>
    </row>
    <row r="454" customFormat="1" s="343">
      <c r="B454" s="427" t="n"/>
    </row>
    <row r="455" customFormat="1" s="343">
      <c r="B455" s="427" t="n"/>
    </row>
    <row r="456" customFormat="1" s="343">
      <c r="B456" s="427" t="n"/>
    </row>
    <row r="457" customFormat="1" s="343">
      <c r="B457" s="427" t="n"/>
    </row>
    <row r="458" customFormat="1" s="343">
      <c r="B458" s="427" t="n"/>
    </row>
    <row r="459" customFormat="1" s="343">
      <c r="B459" s="427" t="n"/>
    </row>
    <row r="460" customFormat="1" s="343">
      <c r="B460" s="427" t="n"/>
    </row>
    <row r="461" customFormat="1" s="343">
      <c r="B461" s="427" t="n"/>
    </row>
    <row r="462" customFormat="1" s="343">
      <c r="B462" s="427" t="n"/>
    </row>
    <row r="463" customFormat="1" s="343">
      <c r="B463" s="427" t="n"/>
    </row>
    <row r="464" customFormat="1" s="343">
      <c r="B464" s="427" t="n"/>
    </row>
    <row r="465" customFormat="1" s="343">
      <c r="B465" s="427" t="n"/>
    </row>
    <row r="466" customFormat="1" s="343">
      <c r="B466" s="427" t="n"/>
    </row>
    <row r="467" customFormat="1" s="343">
      <c r="B467" s="427" t="n"/>
    </row>
    <row r="468" customFormat="1" s="343">
      <c r="B468" s="427" t="n"/>
    </row>
    <row r="469" customFormat="1" s="343">
      <c r="B469" s="427" t="n"/>
    </row>
    <row r="470" customFormat="1" s="343">
      <c r="B470" s="427" t="n"/>
    </row>
    <row r="471" customFormat="1" s="343">
      <c r="B471" s="427" t="n"/>
    </row>
    <row r="472" customFormat="1" s="343">
      <c r="B472" s="427" t="n"/>
    </row>
    <row r="473" customFormat="1" s="343">
      <c r="B473" s="427" t="n"/>
    </row>
    <row r="474" customFormat="1" s="343">
      <c r="B474" s="427" t="n"/>
    </row>
    <row r="475" customFormat="1" s="343">
      <c r="B475" s="427" t="n"/>
    </row>
    <row r="476" customFormat="1" s="343">
      <c r="B476" s="427" t="n"/>
    </row>
    <row r="477" customFormat="1" s="343">
      <c r="B477" s="427" t="n"/>
    </row>
    <row r="478" customFormat="1" s="343">
      <c r="B478" s="427" t="n"/>
    </row>
    <row r="479" customFormat="1" s="343">
      <c r="B479" s="427" t="n"/>
    </row>
    <row r="480" customFormat="1" s="343">
      <c r="B480" s="427" t="n"/>
    </row>
    <row r="481" customFormat="1" s="343">
      <c r="B481" s="427" t="n"/>
    </row>
    <row r="482" customFormat="1" s="343">
      <c r="B482" s="427" t="n"/>
    </row>
    <row r="483" customFormat="1" s="343">
      <c r="B483" s="427" t="n"/>
    </row>
    <row r="484" customFormat="1" s="343">
      <c r="B484" s="427" t="n"/>
    </row>
    <row r="485" customFormat="1" s="343">
      <c r="B485" s="427" t="n"/>
    </row>
    <row r="486" customFormat="1" s="343">
      <c r="B486" s="427" t="n"/>
    </row>
    <row r="487" customFormat="1" s="343">
      <c r="B487" s="427" t="n"/>
    </row>
    <row r="488" customFormat="1" s="343">
      <c r="B488" s="427" t="n"/>
    </row>
    <row r="489" customFormat="1" s="343">
      <c r="B489" s="427" t="n"/>
    </row>
    <row r="490" customFormat="1" s="343">
      <c r="B490" s="427" t="n"/>
    </row>
    <row r="491" customFormat="1" s="343">
      <c r="B491" s="427" t="n"/>
    </row>
    <row r="492" customFormat="1" s="343">
      <c r="B492" s="427" t="n"/>
    </row>
    <row r="493" customFormat="1" s="343">
      <c r="B493" s="427" t="n"/>
    </row>
    <row r="494" customFormat="1" s="343">
      <c r="B494" s="427" t="n"/>
    </row>
    <row r="495" customFormat="1" s="343">
      <c r="B495" s="427" t="n"/>
    </row>
    <row r="496" customFormat="1" s="343">
      <c r="B496" s="427" t="n"/>
    </row>
    <row r="497" customFormat="1" s="343">
      <c r="B497" s="427" t="n"/>
    </row>
    <row r="498" customFormat="1" s="343">
      <c r="B498" s="427" t="n"/>
    </row>
    <row r="499" customFormat="1" s="343">
      <c r="B499" s="427" t="n"/>
    </row>
    <row r="500" customFormat="1" s="343">
      <c r="B500" s="427" t="n"/>
    </row>
    <row r="501" customFormat="1" s="343">
      <c r="B501" s="427" t="n"/>
    </row>
    <row r="502" customFormat="1" s="343">
      <c r="B502" s="427" t="n"/>
    </row>
    <row r="503" customFormat="1" s="343">
      <c r="B503" s="427" t="n"/>
    </row>
    <row r="504" customFormat="1" s="343">
      <c r="B504" s="427" t="n"/>
    </row>
    <row r="505" customFormat="1" s="343">
      <c r="B505" s="427" t="n"/>
    </row>
    <row r="506" customFormat="1" s="343">
      <c r="B506" s="427" t="n"/>
    </row>
    <row r="507" customFormat="1" s="343">
      <c r="B507" s="427" t="n"/>
    </row>
    <row r="508" customFormat="1" s="343">
      <c r="B508" s="427" t="n"/>
    </row>
    <row r="509" customFormat="1" s="343">
      <c r="B509" s="427" t="n"/>
    </row>
    <row r="510" customFormat="1" s="343">
      <c r="B510" s="427" t="n"/>
    </row>
    <row r="511" customFormat="1" s="343">
      <c r="B511" s="427" t="n"/>
    </row>
    <row r="512" customFormat="1" s="343">
      <c r="B512" s="427" t="n"/>
    </row>
    <row r="513" customFormat="1" s="343">
      <c r="B513" s="427" t="n"/>
    </row>
    <row r="514" customFormat="1" s="343">
      <c r="B514" s="427" t="n"/>
    </row>
    <row r="515" customFormat="1" s="343">
      <c r="B515" s="427" t="n"/>
    </row>
    <row r="516" customFormat="1" s="343">
      <c r="B516" s="427" t="n"/>
    </row>
    <row r="517" customFormat="1" s="343">
      <c r="B517" s="427" t="n"/>
    </row>
    <row r="518" customFormat="1" s="343">
      <c r="B518" s="427" t="n"/>
    </row>
    <row r="519" customFormat="1" s="343">
      <c r="B519" s="427" t="n"/>
    </row>
    <row r="520" customFormat="1" s="343">
      <c r="B520" s="427" t="n"/>
    </row>
    <row r="521" customFormat="1" s="343">
      <c r="B521" s="427" t="n"/>
    </row>
    <row r="522" customFormat="1" s="343">
      <c r="B522" s="427" t="n"/>
    </row>
    <row r="523" customFormat="1" s="343">
      <c r="B523" s="427" t="n"/>
    </row>
    <row r="524" customFormat="1" s="343">
      <c r="B524" s="427" t="n"/>
    </row>
    <row r="525" customFormat="1" s="343">
      <c r="B525" s="427" t="n"/>
    </row>
    <row r="526" customFormat="1" s="343">
      <c r="B526" s="427" t="n"/>
    </row>
    <row r="527" customFormat="1" s="343">
      <c r="B527" s="427" t="n"/>
    </row>
    <row r="528" customFormat="1" s="343">
      <c r="B528" s="427" t="n"/>
    </row>
    <row r="529" customFormat="1" s="343">
      <c r="B529" s="427" t="n"/>
    </row>
    <row r="530" customFormat="1" s="343">
      <c r="B530" s="427" t="n"/>
    </row>
    <row r="531" customFormat="1" s="343">
      <c r="B531" s="427" t="n"/>
    </row>
    <row r="532" customFormat="1" s="343">
      <c r="B532" s="427" t="n"/>
    </row>
    <row r="533" customFormat="1" s="343">
      <c r="B533" s="427" t="n"/>
    </row>
    <row r="534" customFormat="1" s="343">
      <c r="B534" s="427" t="n"/>
    </row>
    <row r="535" customFormat="1" s="343">
      <c r="B535" s="427" t="n"/>
    </row>
    <row r="536" customFormat="1" s="343">
      <c r="B536" s="427" t="n"/>
    </row>
    <row r="537" customFormat="1" s="343">
      <c r="B537" s="427" t="n"/>
    </row>
    <row r="538" customFormat="1" s="343">
      <c r="B538" s="427" t="n"/>
    </row>
    <row r="539" customFormat="1" s="343">
      <c r="B539" s="427" t="n"/>
    </row>
    <row r="540" customFormat="1" s="343">
      <c r="B540" s="427" t="n"/>
    </row>
    <row r="541" customFormat="1" s="343">
      <c r="B541" s="427" t="n"/>
    </row>
    <row r="542" customFormat="1" s="343">
      <c r="B542" s="427" t="n"/>
    </row>
    <row r="543" customFormat="1" s="343">
      <c r="B543" s="427" t="n"/>
    </row>
    <row r="544" customFormat="1" s="343">
      <c r="B544" s="427" t="n"/>
    </row>
    <row r="545" customFormat="1" s="343">
      <c r="B545" s="427" t="n"/>
    </row>
    <row r="546" customFormat="1" s="343">
      <c r="B546" s="427" t="n"/>
    </row>
    <row r="547" customFormat="1" s="343">
      <c r="B547" s="427" t="n"/>
    </row>
    <row r="548" customFormat="1" s="343">
      <c r="B548" s="427" t="n"/>
    </row>
    <row r="549" customFormat="1" s="343">
      <c r="B549" s="427" t="n"/>
    </row>
    <row r="550" customFormat="1" s="343">
      <c r="B550" s="427" t="n"/>
    </row>
    <row r="551" customFormat="1" s="343">
      <c r="B551" s="427" t="n"/>
    </row>
    <row r="552" customFormat="1" s="343">
      <c r="B552" s="427" t="n"/>
    </row>
    <row r="553" customFormat="1" s="343">
      <c r="B553" s="427" t="n"/>
    </row>
    <row r="554" customFormat="1" s="343">
      <c r="B554" s="427" t="n"/>
    </row>
    <row r="555" customFormat="1" s="343">
      <c r="B555" s="427" t="n"/>
    </row>
    <row r="556" customFormat="1" s="343">
      <c r="B556" s="427" t="n"/>
    </row>
    <row r="557" customFormat="1" s="343">
      <c r="B557" s="427" t="n"/>
    </row>
    <row r="558" customFormat="1" s="343">
      <c r="B558" s="427" t="n"/>
    </row>
    <row r="559" customFormat="1" s="343">
      <c r="B559" s="427" t="n"/>
    </row>
    <row r="560" customFormat="1" s="343">
      <c r="B560" s="427" t="n"/>
    </row>
    <row r="561" customFormat="1" s="343">
      <c r="B561" s="427" t="n"/>
    </row>
    <row r="562" customFormat="1" s="343">
      <c r="B562" s="427" t="n"/>
    </row>
    <row r="563" customFormat="1" s="343">
      <c r="B563" s="427" t="n"/>
    </row>
    <row r="564" customFormat="1" s="343">
      <c r="B564" s="427" t="n"/>
    </row>
    <row r="565" customFormat="1" s="343">
      <c r="B565" s="427" t="n"/>
    </row>
    <row r="566" customFormat="1" s="343">
      <c r="B566" s="427" t="n"/>
    </row>
    <row r="567" customFormat="1" s="343">
      <c r="B567" s="427" t="n"/>
    </row>
    <row r="568" customFormat="1" s="343">
      <c r="B568" s="427" t="n"/>
    </row>
    <row r="569" customFormat="1" s="343">
      <c r="B569" s="427" t="n"/>
    </row>
    <row r="570" customFormat="1" s="343">
      <c r="B570" s="427" t="n"/>
    </row>
    <row r="571" customFormat="1" s="343">
      <c r="B571" s="427" t="n"/>
    </row>
    <row r="572" customFormat="1" s="343">
      <c r="B572" s="427" t="n"/>
    </row>
    <row r="573" customFormat="1" s="343">
      <c r="B573" s="427" t="n"/>
    </row>
    <row r="574" customFormat="1" s="343">
      <c r="B574" s="427" t="n"/>
    </row>
    <row r="575" customFormat="1" s="343">
      <c r="B575" s="427" t="n"/>
    </row>
    <row r="576" customFormat="1" s="343">
      <c r="B576" s="427" t="n"/>
    </row>
    <row r="577" customFormat="1" s="343">
      <c r="B577" s="427" t="n"/>
    </row>
    <row r="578" customFormat="1" s="343">
      <c r="B578" s="427" t="n"/>
    </row>
    <row r="579" customFormat="1" s="343">
      <c r="B579" s="427" t="n"/>
    </row>
    <row r="580" customFormat="1" s="343">
      <c r="B580" s="427" t="n"/>
    </row>
    <row r="581" customFormat="1" s="343">
      <c r="B581" s="427" t="n"/>
    </row>
    <row r="582" customFormat="1" s="343">
      <c r="B582" s="427" t="n"/>
    </row>
    <row r="583" customFormat="1" s="343">
      <c r="B583" s="427" t="n"/>
    </row>
    <row r="584" customFormat="1" s="343">
      <c r="B584" s="427" t="n"/>
    </row>
    <row r="585" customFormat="1" s="343">
      <c r="B585" s="427" t="n"/>
    </row>
    <row r="586" customFormat="1" s="343">
      <c r="B586" s="427" t="n"/>
    </row>
    <row r="587" customFormat="1" s="343">
      <c r="B587" s="427" t="n"/>
    </row>
    <row r="588" customFormat="1" s="343">
      <c r="B588" s="427" t="n"/>
    </row>
    <row r="589" customFormat="1" s="343">
      <c r="B589" s="427" t="n"/>
    </row>
    <row r="590" customFormat="1" s="343">
      <c r="B590" s="427" t="n"/>
    </row>
    <row r="591" customFormat="1" s="343">
      <c r="B591" s="427" t="n"/>
    </row>
    <row r="592" customFormat="1" s="343">
      <c r="B592" s="427" t="n"/>
    </row>
    <row r="593" customFormat="1" s="343">
      <c r="B593" s="427" t="n"/>
    </row>
    <row r="594" customFormat="1" s="343">
      <c r="B594" s="427" t="n"/>
    </row>
    <row r="595" customFormat="1" s="343">
      <c r="B595" s="427" t="n"/>
    </row>
    <row r="596" customFormat="1" s="343">
      <c r="B596" s="427" t="n"/>
    </row>
    <row r="597" customFormat="1" s="343">
      <c r="B597" s="427" t="n"/>
    </row>
    <row r="598" customFormat="1" s="343">
      <c r="B598" s="427" t="n"/>
    </row>
    <row r="599" customFormat="1" s="343">
      <c r="B599" s="427" t="n"/>
    </row>
    <row r="600" customFormat="1" s="343">
      <c r="B600" s="427" t="n"/>
    </row>
    <row r="601" customFormat="1" s="343">
      <c r="B601" s="427" t="n"/>
    </row>
    <row r="602" customFormat="1" s="343">
      <c r="B602" s="427" t="n"/>
    </row>
    <row r="603" customFormat="1" s="343">
      <c r="B603" s="427" t="n"/>
    </row>
    <row r="604" customFormat="1" s="343">
      <c r="B604" s="427" t="n"/>
    </row>
    <row r="605" customFormat="1" s="343">
      <c r="B605" s="427" t="n"/>
    </row>
    <row r="606" customFormat="1" s="343">
      <c r="B606" s="427" t="n"/>
    </row>
    <row r="607" customFormat="1" s="343">
      <c r="B607" s="427" t="n"/>
    </row>
    <row r="608" customFormat="1" s="343">
      <c r="B608" s="427" t="n"/>
    </row>
    <row r="609" customFormat="1" s="343">
      <c r="B609" s="427" t="n"/>
    </row>
    <row r="610" customFormat="1" s="343">
      <c r="B610" s="427" t="n"/>
    </row>
    <row r="611" customFormat="1" s="343">
      <c r="B611" s="427" t="n"/>
    </row>
    <row r="612" customFormat="1" s="343">
      <c r="B612" s="427" t="n"/>
    </row>
    <row r="613" customFormat="1" s="343">
      <c r="B613" s="427" t="n"/>
    </row>
    <row r="614" customFormat="1" s="343">
      <c r="B614" s="427" t="n"/>
    </row>
    <row r="615" customFormat="1" s="343">
      <c r="B615" s="427" t="n"/>
    </row>
    <row r="616" customFormat="1" s="343">
      <c r="B616" s="427" t="n"/>
    </row>
    <row r="617" customFormat="1" s="343">
      <c r="B617" s="427" t="n"/>
    </row>
    <row r="618" customFormat="1" s="343">
      <c r="B618" s="427" t="n"/>
    </row>
    <row r="619" customFormat="1" s="343">
      <c r="B619" s="427" t="n"/>
    </row>
    <row r="620" customFormat="1" s="343">
      <c r="B620" s="427" t="n"/>
    </row>
    <row r="621" customFormat="1" s="343">
      <c r="B621" s="427" t="n"/>
    </row>
    <row r="622" customFormat="1" s="343">
      <c r="B622" s="427" t="n"/>
    </row>
    <row r="623" customFormat="1" s="343">
      <c r="B623" s="427" t="n"/>
    </row>
    <row r="624" customFormat="1" s="343">
      <c r="B624" s="427" t="n"/>
    </row>
    <row r="625" customFormat="1" s="343">
      <c r="B625" s="427" t="n"/>
    </row>
    <row r="626" customFormat="1" s="343">
      <c r="B626" s="427" t="n"/>
    </row>
    <row r="627" customFormat="1" s="343">
      <c r="B627" s="427" t="n"/>
    </row>
    <row r="628" customFormat="1" s="343">
      <c r="B628" s="427" t="n"/>
    </row>
    <row r="629" customFormat="1" s="343">
      <c r="B629" s="427" t="n"/>
    </row>
    <row r="630" customFormat="1" s="343">
      <c r="B630" s="427" t="n"/>
    </row>
    <row r="631" customFormat="1" s="343">
      <c r="B631" s="427" t="n"/>
    </row>
    <row r="632" customFormat="1" s="343">
      <c r="B632" s="427" t="n"/>
    </row>
    <row r="633" customFormat="1" s="343">
      <c r="B633" s="427" t="n"/>
    </row>
    <row r="634" customFormat="1" s="343">
      <c r="B634" s="427" t="n"/>
    </row>
    <row r="635" customFormat="1" s="343">
      <c r="B635" s="427" t="n"/>
    </row>
    <row r="636" customFormat="1" s="343">
      <c r="B636" s="427" t="n"/>
    </row>
    <row r="637" customFormat="1" s="343">
      <c r="B637" s="427" t="n"/>
    </row>
    <row r="638" customFormat="1" s="343">
      <c r="B638" s="427" t="n"/>
    </row>
    <row r="639" customFormat="1" s="343">
      <c r="B639" s="427" t="n"/>
    </row>
    <row r="640" customFormat="1" s="343">
      <c r="B640" s="427" t="n"/>
    </row>
    <row r="641" customFormat="1" s="343">
      <c r="B641" s="427" t="n"/>
    </row>
    <row r="642" customFormat="1" s="343">
      <c r="B642" s="427" t="n"/>
    </row>
    <row r="643" customFormat="1" s="343">
      <c r="B643" s="427" t="n"/>
    </row>
    <row r="644" customFormat="1" s="343">
      <c r="B644" s="427" t="n"/>
    </row>
    <row r="645" customFormat="1" s="343">
      <c r="B645" s="427" t="n"/>
    </row>
    <row r="646" customFormat="1" s="343">
      <c r="B646" s="427" t="n"/>
    </row>
    <row r="647" customFormat="1" s="343">
      <c r="B647" s="427" t="n"/>
    </row>
    <row r="648" customFormat="1" s="343">
      <c r="B648" s="427" t="n"/>
    </row>
    <row r="649" customFormat="1" s="343">
      <c r="B649" s="427" t="n"/>
    </row>
    <row r="650" customFormat="1" s="343">
      <c r="B650" s="427" t="n"/>
    </row>
    <row r="651" customFormat="1" s="343">
      <c r="B651" s="427" t="n"/>
    </row>
    <row r="652" customFormat="1" s="343">
      <c r="B652" s="427" t="n"/>
    </row>
    <row r="653" customFormat="1" s="343">
      <c r="B653" s="427" t="n"/>
    </row>
    <row r="654" customFormat="1" s="343">
      <c r="B654" s="427" t="n"/>
    </row>
    <row r="655" customFormat="1" s="343">
      <c r="B655" s="427" t="n"/>
    </row>
    <row r="656" customFormat="1" s="343">
      <c r="B656" s="427" t="n"/>
    </row>
    <row r="657" customFormat="1" s="343">
      <c r="B657" s="427" t="n"/>
    </row>
    <row r="658" customFormat="1" s="343">
      <c r="B658" s="427" t="n"/>
    </row>
    <row r="659" customFormat="1" s="343">
      <c r="B659" s="427" t="n"/>
    </row>
    <row r="660" customFormat="1" s="343">
      <c r="B660" s="427" t="n"/>
    </row>
    <row r="661" customFormat="1" s="343">
      <c r="B661" s="427" t="n"/>
    </row>
    <row r="662" customFormat="1" s="343">
      <c r="B662" s="427" t="n"/>
    </row>
    <row r="663" customFormat="1" s="343">
      <c r="B663" s="427" t="n"/>
    </row>
    <row r="664" customFormat="1" s="343">
      <c r="B664" s="427" t="n"/>
    </row>
    <row r="665" customFormat="1" s="343">
      <c r="B665" s="427" t="n"/>
    </row>
    <row r="666" customFormat="1" s="343">
      <c r="B666" s="427" t="n"/>
    </row>
    <row r="667" customFormat="1" s="343">
      <c r="B667" s="427" t="n"/>
    </row>
    <row r="668" customFormat="1" s="343">
      <c r="B668" s="427" t="n"/>
    </row>
    <row r="669" customFormat="1" s="343">
      <c r="B669" s="427" t="n"/>
    </row>
    <row r="670" customFormat="1" s="343">
      <c r="B670" s="427" t="n"/>
    </row>
    <row r="671" customFormat="1" s="343">
      <c r="B671" s="427" t="n"/>
    </row>
    <row r="672" customFormat="1" s="343">
      <c r="B672" s="427" t="n"/>
    </row>
    <row r="673" customFormat="1" s="343">
      <c r="B673" s="427" t="n"/>
    </row>
    <row r="674" customFormat="1" s="343">
      <c r="B674" s="427" t="n"/>
    </row>
    <row r="675" customFormat="1" s="343">
      <c r="B675" s="427" t="n"/>
    </row>
    <row r="676" customFormat="1" s="343">
      <c r="B676" s="427" t="n"/>
    </row>
    <row r="677" customFormat="1" s="343">
      <c r="B677" s="427" t="n"/>
    </row>
    <row r="678" customFormat="1" s="343">
      <c r="B678" s="427" t="n"/>
    </row>
    <row r="679" customFormat="1" s="343">
      <c r="B679" s="427" t="n"/>
    </row>
    <row r="680" customFormat="1" s="343">
      <c r="B680" s="427" t="n"/>
    </row>
    <row r="681" customFormat="1" s="343">
      <c r="B681" s="427" t="n"/>
    </row>
    <row r="682" customFormat="1" s="343">
      <c r="B682" s="427" t="n"/>
    </row>
    <row r="683" customFormat="1" s="343">
      <c r="B683" s="427" t="n"/>
    </row>
    <row r="684" customFormat="1" s="343">
      <c r="B684" s="427" t="n"/>
    </row>
    <row r="685" customFormat="1" s="343">
      <c r="B685" s="427" t="n"/>
    </row>
    <row r="686" customFormat="1" s="343">
      <c r="B686" s="427" t="n"/>
    </row>
    <row r="687" customFormat="1" s="343">
      <c r="B687" s="427" t="n"/>
    </row>
    <row r="688" customFormat="1" s="343">
      <c r="B688" s="427" t="n"/>
    </row>
    <row r="689" customFormat="1" s="343">
      <c r="B689" s="427" t="n"/>
    </row>
    <row r="690" customFormat="1" s="343">
      <c r="B690" s="427" t="n"/>
    </row>
    <row r="691" customFormat="1" s="343">
      <c r="B691" s="427" t="n"/>
    </row>
    <row r="692" customFormat="1" s="343">
      <c r="B692" s="427" t="n"/>
    </row>
    <row r="693" customFormat="1" s="343">
      <c r="B693" s="427" t="n"/>
    </row>
    <row r="694" customFormat="1" s="343">
      <c r="B694" s="427" t="n"/>
    </row>
    <row r="695" customFormat="1" s="343">
      <c r="B695" s="427" t="n"/>
    </row>
    <row r="696" customFormat="1" s="343">
      <c r="B696" s="427" t="n"/>
    </row>
    <row r="697" customFormat="1" s="343">
      <c r="B697" s="427" t="n"/>
    </row>
    <row r="698" customFormat="1" s="343">
      <c r="B698" s="427" t="n"/>
    </row>
    <row r="699" customFormat="1" s="343">
      <c r="B699" s="427" t="n"/>
    </row>
    <row r="700" customFormat="1" s="343">
      <c r="B700" s="427" t="n"/>
    </row>
    <row r="701" customFormat="1" s="343">
      <c r="B701" s="427" t="n"/>
    </row>
    <row r="702" customFormat="1" s="343">
      <c r="B702" s="427" t="n"/>
    </row>
    <row r="703" customFormat="1" s="343">
      <c r="B703" s="427" t="n"/>
    </row>
    <row r="704" customFormat="1" s="343">
      <c r="B704" s="427" t="n"/>
    </row>
    <row r="705" customFormat="1" s="343">
      <c r="B705" s="427" t="n"/>
    </row>
    <row r="706" customFormat="1" s="343">
      <c r="B706" s="427" t="n"/>
    </row>
    <row r="707" customFormat="1" s="343">
      <c r="B707" s="427" t="n"/>
    </row>
    <row r="708" customFormat="1" s="343">
      <c r="B708" s="427" t="n"/>
    </row>
    <row r="709" customFormat="1" s="343">
      <c r="B709" s="427" t="n"/>
    </row>
    <row r="710" customFormat="1" s="343">
      <c r="B710" s="427" t="n"/>
    </row>
    <row r="711" customFormat="1" s="343">
      <c r="B711" s="427" t="n"/>
    </row>
    <row r="712" customFormat="1" s="343">
      <c r="B712" s="427" t="n"/>
    </row>
    <row r="713" customFormat="1" s="343">
      <c r="B713" s="427" t="n"/>
    </row>
    <row r="714" customFormat="1" s="343">
      <c r="B714" s="427" t="n"/>
    </row>
    <row r="715" customFormat="1" s="343">
      <c r="B715" s="427" t="n"/>
    </row>
    <row r="716" customFormat="1" s="343">
      <c r="B716" s="427" t="n"/>
    </row>
    <row r="717" customFormat="1" s="343">
      <c r="B717" s="427" t="n"/>
    </row>
    <row r="718" customFormat="1" s="343">
      <c r="B718" s="427" t="n"/>
    </row>
    <row r="719" customFormat="1" s="343">
      <c r="B719" s="427" t="n"/>
    </row>
    <row r="720" customFormat="1" s="343">
      <c r="B720" s="427" t="n"/>
    </row>
    <row r="721" customFormat="1" s="343">
      <c r="B721" s="427" t="n"/>
    </row>
    <row r="722" customFormat="1" s="343">
      <c r="B722" s="427" t="n"/>
    </row>
    <row r="723" customFormat="1" s="343">
      <c r="B723" s="427" t="n"/>
    </row>
    <row r="724" customFormat="1" s="343">
      <c r="B724" s="427" t="n"/>
    </row>
    <row r="725" customFormat="1" s="343">
      <c r="B725" s="427" t="n"/>
    </row>
    <row r="726" customFormat="1" s="343">
      <c r="B726" s="427" t="n"/>
    </row>
    <row r="727" customFormat="1" s="343">
      <c r="B727" s="427" t="n"/>
    </row>
    <row r="728" customFormat="1" s="343">
      <c r="B728" s="427" t="n"/>
    </row>
    <row r="729" customFormat="1" s="343">
      <c r="B729" s="427" t="n"/>
    </row>
    <row r="730" customFormat="1" s="343">
      <c r="B730" s="427" t="n"/>
    </row>
    <row r="731" customFormat="1" s="343">
      <c r="B731" s="427" t="n"/>
    </row>
    <row r="732" customFormat="1" s="343">
      <c r="B732" s="427" t="n"/>
    </row>
    <row r="733" customFormat="1" s="343">
      <c r="B733" s="427" t="n"/>
    </row>
    <row r="734" customFormat="1" s="343">
      <c r="B734" s="427" t="n"/>
    </row>
    <row r="735" customFormat="1" s="343">
      <c r="B735" s="427" t="n"/>
    </row>
    <row r="736" customFormat="1" s="343">
      <c r="B736" s="427" t="n"/>
    </row>
    <row r="737" customFormat="1" s="343">
      <c r="B737" s="427" t="n"/>
    </row>
    <row r="738" customFormat="1" s="343">
      <c r="B738" s="427" t="n"/>
    </row>
    <row r="739" customFormat="1" s="343">
      <c r="B739" s="427" t="n"/>
    </row>
    <row r="740" customFormat="1" s="343">
      <c r="B740" s="427" t="n"/>
    </row>
    <row r="741" customFormat="1" s="343">
      <c r="B741" s="427" t="n"/>
    </row>
    <row r="742" customFormat="1" s="343">
      <c r="B742" s="427" t="n"/>
    </row>
    <row r="743" customFormat="1" s="343">
      <c r="B743" s="427" t="n"/>
    </row>
    <row r="744" customFormat="1" s="343">
      <c r="B744" s="427" t="n"/>
    </row>
    <row r="745" customFormat="1" s="343">
      <c r="B745" s="427" t="n"/>
    </row>
    <row r="746" customFormat="1" s="343">
      <c r="B746" s="427" t="n"/>
    </row>
    <row r="747" customFormat="1" s="343">
      <c r="B747" s="427" t="n"/>
    </row>
    <row r="748" customFormat="1" s="343">
      <c r="B748" s="427" t="n"/>
    </row>
    <row r="749" customFormat="1" s="343">
      <c r="B749" s="427" t="n"/>
    </row>
    <row r="750" customFormat="1" s="343">
      <c r="B750" s="427" t="n"/>
    </row>
    <row r="751" customFormat="1" s="343">
      <c r="B751" s="427" t="n"/>
    </row>
    <row r="752" customFormat="1" s="343">
      <c r="B752" s="427" t="n"/>
    </row>
    <row r="753" customFormat="1" s="343">
      <c r="B753" s="427" t="n"/>
    </row>
    <row r="754" customFormat="1" s="343">
      <c r="B754" s="427" t="n"/>
    </row>
    <row r="755" customFormat="1" s="343">
      <c r="B755" s="427" t="n"/>
    </row>
    <row r="756" customFormat="1" s="343">
      <c r="B756" s="427" t="n"/>
    </row>
    <row r="757" customFormat="1" s="343">
      <c r="B757" s="427" t="n"/>
    </row>
    <row r="758" customFormat="1" s="343">
      <c r="B758" s="427" t="n"/>
    </row>
    <row r="759" customFormat="1" s="343">
      <c r="B759" s="427" t="n"/>
    </row>
    <row r="760" customFormat="1" s="343">
      <c r="B760" s="427" t="n"/>
    </row>
    <row r="761" customFormat="1" s="343">
      <c r="B761" s="427" t="n"/>
    </row>
    <row r="762" customFormat="1" s="343">
      <c r="B762" s="427" t="n"/>
    </row>
    <row r="763" customFormat="1" s="343">
      <c r="B763" s="427" t="n"/>
    </row>
    <row r="764" customFormat="1" s="343">
      <c r="B764" s="427" t="n"/>
    </row>
    <row r="765" customFormat="1" s="343">
      <c r="B765" s="427" t="n"/>
    </row>
    <row r="766" customFormat="1" s="343">
      <c r="B766" s="427" t="n"/>
    </row>
    <row r="767" customFormat="1" s="343">
      <c r="B767" s="427" t="n"/>
    </row>
    <row r="768" customFormat="1" s="343">
      <c r="B768" s="427" t="n"/>
    </row>
    <row r="769" customFormat="1" s="343">
      <c r="B769" s="427" t="n"/>
    </row>
    <row r="770" customFormat="1" s="343">
      <c r="B770" s="427" t="n"/>
    </row>
    <row r="771" customFormat="1" s="343">
      <c r="B771" s="427" t="n"/>
    </row>
    <row r="772" customFormat="1" s="343">
      <c r="B772" s="427" t="n"/>
    </row>
    <row r="773" customFormat="1" s="343">
      <c r="B773" s="427" t="n"/>
    </row>
    <row r="774" customFormat="1" s="343">
      <c r="B774" s="427" t="n"/>
    </row>
    <row r="775" customFormat="1" s="343">
      <c r="B775" s="427" t="n"/>
    </row>
    <row r="776" customFormat="1" s="343">
      <c r="B776" s="427" t="n"/>
    </row>
    <row r="777" customFormat="1" s="343">
      <c r="B777" s="427" t="n"/>
    </row>
    <row r="778" customFormat="1" s="343">
      <c r="B778" s="427" t="n"/>
    </row>
    <row r="779" customFormat="1" s="343">
      <c r="B779" s="427" t="n"/>
    </row>
    <row r="780" customFormat="1" s="343">
      <c r="B780" s="427" t="n"/>
    </row>
    <row r="781" customFormat="1" s="343">
      <c r="B781" s="427" t="n"/>
    </row>
    <row r="782" customFormat="1" s="343">
      <c r="B782" s="427" t="n"/>
    </row>
    <row r="783" customFormat="1" s="343">
      <c r="B783" s="427" t="n"/>
    </row>
    <row r="784" customFormat="1" s="343">
      <c r="B784" s="427" t="n"/>
    </row>
    <row r="785" customFormat="1" s="343">
      <c r="B785" s="427" t="n"/>
    </row>
    <row r="786" customFormat="1" s="343">
      <c r="B786" s="427" t="n"/>
    </row>
    <row r="787" customFormat="1" s="343">
      <c r="B787" s="427" t="n"/>
    </row>
    <row r="788" customFormat="1" s="343">
      <c r="B788" s="427" t="n"/>
    </row>
    <row r="789" customFormat="1" s="343">
      <c r="B789" s="427" t="n"/>
    </row>
    <row r="790" customFormat="1" s="343">
      <c r="B790" s="427" t="n"/>
    </row>
    <row r="791" customFormat="1" s="343">
      <c r="B791" s="427" t="n"/>
    </row>
    <row r="792" customFormat="1" s="343">
      <c r="B792" s="427" t="n"/>
    </row>
    <row r="793" customFormat="1" s="343">
      <c r="B793" s="427" t="n"/>
    </row>
    <row r="794" customFormat="1" s="343">
      <c r="B794" s="427" t="n"/>
    </row>
    <row r="795" customFormat="1" s="343">
      <c r="B795" s="427" t="n"/>
    </row>
    <row r="796" customFormat="1" s="343">
      <c r="B796" s="427" t="n"/>
    </row>
    <row r="797" customFormat="1" s="343">
      <c r="B797" s="427" t="n"/>
    </row>
    <row r="798" customFormat="1" s="343">
      <c r="B798" s="427" t="n"/>
    </row>
    <row r="799" customFormat="1" s="343">
      <c r="B799" s="427" t="n"/>
    </row>
    <row r="800" customFormat="1" s="343">
      <c r="B800" s="427" t="n"/>
    </row>
    <row r="801" customFormat="1" s="343">
      <c r="B801" s="427" t="n"/>
    </row>
    <row r="802" customFormat="1" s="343">
      <c r="B802" s="427" t="n"/>
    </row>
    <row r="803" customFormat="1" s="343">
      <c r="B803" s="427" t="n"/>
    </row>
    <row r="804" customFormat="1" s="343">
      <c r="B804" s="427" t="n"/>
    </row>
    <row r="805" customFormat="1" s="343">
      <c r="B805" s="427" t="n"/>
    </row>
    <row r="806" customFormat="1" s="343">
      <c r="B806" s="427" t="n"/>
    </row>
    <row r="807" customFormat="1" s="343">
      <c r="B807" s="427" t="n"/>
    </row>
    <row r="808" customFormat="1" s="343">
      <c r="B808" s="427" t="n"/>
    </row>
    <row r="809" customFormat="1" s="343">
      <c r="B809" s="427" t="n"/>
    </row>
    <row r="810" customFormat="1" s="343">
      <c r="B810" s="427" t="n"/>
    </row>
    <row r="811" customFormat="1" s="343">
      <c r="B811" s="427" t="n"/>
    </row>
    <row r="812" customFormat="1" s="343">
      <c r="B812" s="427" t="n"/>
    </row>
    <row r="813" customFormat="1" s="343">
      <c r="B813" s="427" t="n"/>
    </row>
    <row r="814" customFormat="1" s="343">
      <c r="B814" s="427" t="n"/>
    </row>
    <row r="815" customFormat="1" s="343">
      <c r="B815" s="427" t="n"/>
    </row>
    <row r="816" customFormat="1" s="343">
      <c r="B816" s="427" t="n"/>
    </row>
    <row r="817" customFormat="1" s="343">
      <c r="B817" s="427" t="n"/>
    </row>
    <row r="818" customFormat="1" s="343">
      <c r="B818" s="427" t="n"/>
    </row>
    <row r="819" customFormat="1" s="343">
      <c r="B819" s="427" t="n"/>
    </row>
    <row r="820" customFormat="1" s="343">
      <c r="B820" s="427" t="n"/>
    </row>
    <row r="821" customFormat="1" s="343">
      <c r="B821" s="427" t="n"/>
    </row>
    <row r="822" customFormat="1" s="343">
      <c r="B822" s="427" t="n"/>
    </row>
    <row r="823" customFormat="1" s="343">
      <c r="B823" s="427" t="n"/>
    </row>
    <row r="824" customFormat="1" s="343">
      <c r="B824" s="427" t="n"/>
    </row>
    <row r="825" customFormat="1" s="343">
      <c r="B825" s="427" t="n"/>
    </row>
    <row r="826" customFormat="1" s="343">
      <c r="B826" s="427" t="n"/>
    </row>
    <row r="827" customFormat="1" s="343">
      <c r="B827" s="427" t="n"/>
    </row>
    <row r="828" customFormat="1" s="343">
      <c r="B828" s="427" t="n"/>
    </row>
    <row r="829" customFormat="1" s="343">
      <c r="B829" s="427" t="n"/>
    </row>
    <row r="830" customFormat="1" s="343">
      <c r="B830" s="427" t="n"/>
    </row>
    <row r="831" customFormat="1" s="343">
      <c r="B831" s="427" t="n"/>
    </row>
    <row r="832" customFormat="1" s="343">
      <c r="B832" s="427" t="n"/>
    </row>
    <row r="833" customFormat="1" s="343">
      <c r="B833" s="427" t="n"/>
    </row>
    <row r="834" customFormat="1" s="343">
      <c r="B834" s="427" t="n"/>
    </row>
    <row r="835" customFormat="1" s="343">
      <c r="B835" s="427" t="n"/>
    </row>
    <row r="836" customFormat="1" s="343">
      <c r="B836" s="427" t="n"/>
    </row>
    <row r="837" customFormat="1" s="343">
      <c r="B837" s="427" t="n"/>
    </row>
    <row r="838" customFormat="1" s="343">
      <c r="B838" s="427" t="n"/>
    </row>
    <row r="839" customFormat="1" s="343">
      <c r="B839" s="427" t="n"/>
    </row>
    <row r="840" customFormat="1" s="343">
      <c r="B840" s="427" t="n"/>
    </row>
    <row r="841" customFormat="1" s="343">
      <c r="B841" s="427" t="n"/>
    </row>
    <row r="842" customFormat="1" s="343">
      <c r="B842" s="427" t="n"/>
    </row>
    <row r="843" customFormat="1" s="343">
      <c r="B843" s="427" t="n"/>
    </row>
    <row r="844" customFormat="1" s="343">
      <c r="B844" s="427" t="n"/>
    </row>
    <row r="845" customFormat="1" s="343">
      <c r="B845" s="427" t="n"/>
    </row>
    <row r="846" customFormat="1" s="343">
      <c r="B846" s="427" t="n"/>
    </row>
    <row r="847" customFormat="1" s="343">
      <c r="B847" s="427" t="n"/>
    </row>
    <row r="848" customFormat="1" s="343">
      <c r="B848" s="427" t="n"/>
    </row>
    <row r="849" customFormat="1" s="343">
      <c r="B849" s="427" t="n"/>
    </row>
    <row r="850" customFormat="1" s="343">
      <c r="B850" s="427" t="n"/>
    </row>
    <row r="851" customFormat="1" s="343">
      <c r="B851" s="427" t="n"/>
    </row>
    <row r="852" customFormat="1" s="343">
      <c r="B852" s="427" t="n"/>
    </row>
    <row r="853" customFormat="1" s="343">
      <c r="B853" s="427" t="n"/>
    </row>
    <row r="854" customFormat="1" s="343">
      <c r="B854" s="427" t="n"/>
    </row>
    <row r="855" customFormat="1" s="343">
      <c r="B855" s="427" t="n"/>
    </row>
    <row r="856" customFormat="1" s="343">
      <c r="B856" s="427" t="n"/>
    </row>
    <row r="857" customFormat="1" s="343">
      <c r="B857" s="427" t="n"/>
    </row>
    <row r="858" customFormat="1" s="343">
      <c r="B858" s="427" t="n"/>
    </row>
    <row r="859" customFormat="1" s="343">
      <c r="B859" s="427" t="n"/>
    </row>
    <row r="860" customFormat="1" s="343">
      <c r="B860" s="427" t="n"/>
    </row>
    <row r="861" customFormat="1" s="343">
      <c r="B861" s="427" t="n"/>
    </row>
    <row r="862" customFormat="1" s="343">
      <c r="B862" s="427" t="n"/>
    </row>
    <row r="863" customFormat="1" s="343">
      <c r="B863" s="427" t="n"/>
    </row>
    <row r="864" customFormat="1" s="343">
      <c r="B864" s="427" t="n"/>
    </row>
    <row r="865" customFormat="1" s="343">
      <c r="B865" s="427" t="n"/>
    </row>
    <row r="866" customFormat="1" s="343">
      <c r="B866" s="427" t="n"/>
    </row>
    <row r="867" customFormat="1" s="343">
      <c r="B867" s="427" t="n"/>
    </row>
    <row r="868" customFormat="1" s="343">
      <c r="B868" s="427" t="n"/>
    </row>
    <row r="869" customFormat="1" s="343">
      <c r="B869" s="427" t="n"/>
    </row>
    <row r="870" customFormat="1" s="343">
      <c r="B870" s="427" t="n"/>
    </row>
    <row r="871" customFormat="1" s="343">
      <c r="B871" s="427" t="n"/>
    </row>
    <row r="872" customFormat="1" s="343">
      <c r="B872" s="427" t="n"/>
    </row>
    <row r="873" customFormat="1" s="343">
      <c r="B873" s="427" t="n"/>
    </row>
    <row r="874" customFormat="1" s="343">
      <c r="B874" s="427" t="n"/>
    </row>
    <row r="875" customFormat="1" s="343">
      <c r="B875" s="427" t="n"/>
    </row>
    <row r="876" customFormat="1" s="343">
      <c r="B876" s="427" t="n"/>
    </row>
    <row r="877" customFormat="1" s="343">
      <c r="B877" s="427" t="n"/>
    </row>
    <row r="878" customFormat="1" s="343">
      <c r="B878" s="427" t="n"/>
    </row>
    <row r="879" customFormat="1" s="343">
      <c r="B879" s="427" t="n"/>
    </row>
    <row r="880" customFormat="1" s="343">
      <c r="B880" s="427" t="n"/>
    </row>
    <row r="881" customFormat="1" s="343">
      <c r="B881" s="427" t="n"/>
    </row>
    <row r="882" customFormat="1" s="343">
      <c r="B882" s="427" t="n"/>
    </row>
    <row r="883" customFormat="1" s="343">
      <c r="B883" s="427" t="n"/>
    </row>
    <row r="884" customFormat="1" s="343">
      <c r="B884" s="427" t="n"/>
    </row>
    <row r="885" customFormat="1" s="343">
      <c r="B885" s="427" t="n"/>
    </row>
    <row r="886" customFormat="1" s="343">
      <c r="B886" s="427" t="n"/>
    </row>
    <row r="887" customFormat="1" s="343">
      <c r="B887" s="427" t="n"/>
    </row>
    <row r="888" customFormat="1" s="343">
      <c r="B888" s="427" t="n"/>
    </row>
    <row r="889" customFormat="1" s="343">
      <c r="B889" s="427" t="n"/>
    </row>
    <row r="890" customFormat="1" s="343">
      <c r="B890" s="427" t="n"/>
    </row>
    <row r="891" customFormat="1" s="343">
      <c r="B891" s="427" t="n"/>
    </row>
    <row r="892" customFormat="1" s="343">
      <c r="B892" s="427" t="n"/>
    </row>
    <row r="893" customFormat="1" s="343">
      <c r="B893" s="427" t="n"/>
    </row>
    <row r="894" customFormat="1" s="343">
      <c r="B894" s="427" t="n"/>
    </row>
    <row r="895" customFormat="1" s="343">
      <c r="B895" s="427" t="n"/>
    </row>
    <row r="896" customFormat="1" s="343">
      <c r="B896" s="427" t="n"/>
    </row>
    <row r="897" customFormat="1" s="343">
      <c r="B897" s="427" t="n"/>
    </row>
    <row r="898" customFormat="1" s="343">
      <c r="B898" s="427" t="n"/>
    </row>
    <row r="899" customFormat="1" s="343">
      <c r="B899" s="427" t="n"/>
    </row>
    <row r="900" customFormat="1" s="343">
      <c r="B900" s="427" t="n"/>
    </row>
    <row r="901" customFormat="1" s="343">
      <c r="B901" s="427" t="n"/>
    </row>
    <row r="902" customFormat="1" s="343">
      <c r="B902" s="427" t="n"/>
    </row>
    <row r="903" customFormat="1" s="343">
      <c r="B903" s="427" t="n"/>
    </row>
    <row r="904" customFormat="1" s="343">
      <c r="B904" s="427" t="n"/>
    </row>
    <row r="905" customFormat="1" s="343">
      <c r="B905" s="427" t="n"/>
    </row>
    <row r="906" customFormat="1" s="343">
      <c r="B906" s="427" t="n"/>
    </row>
    <row r="907" customFormat="1" s="343">
      <c r="B907" s="427" t="n"/>
    </row>
    <row r="908" customFormat="1" s="343">
      <c r="B908" s="427" t="n"/>
    </row>
    <row r="909" customFormat="1" s="343">
      <c r="B909" s="427" t="n"/>
    </row>
    <row r="910" customFormat="1" s="343">
      <c r="B910" s="427" t="n"/>
    </row>
    <row r="911" customFormat="1" s="343">
      <c r="B911" s="427" t="n"/>
    </row>
    <row r="912" customFormat="1" s="343">
      <c r="B912" s="427" t="n"/>
    </row>
    <row r="913" customFormat="1" s="343">
      <c r="B913" s="427" t="n"/>
    </row>
    <row r="914" customFormat="1" s="343">
      <c r="B914" s="427" t="n"/>
    </row>
    <row r="915" customFormat="1" s="343">
      <c r="B915" s="427" t="n"/>
    </row>
    <row r="916" customFormat="1" s="343">
      <c r="B916" s="427" t="n"/>
    </row>
    <row r="917" customFormat="1" s="343">
      <c r="B917" s="427" t="n"/>
    </row>
    <row r="918" customFormat="1" s="343">
      <c r="B918" s="427" t="n"/>
    </row>
    <row r="919" customFormat="1" s="343">
      <c r="B919" s="427" t="n"/>
    </row>
    <row r="920" customFormat="1" s="343">
      <c r="B920" s="427" t="n"/>
    </row>
    <row r="921" customFormat="1" s="343">
      <c r="B921" s="427" t="n"/>
    </row>
    <row r="922" customFormat="1" s="343">
      <c r="B922" s="427" t="n"/>
    </row>
    <row r="923" customFormat="1" s="343">
      <c r="B923" s="427" t="n"/>
    </row>
    <row r="924" customFormat="1" s="343">
      <c r="B924" s="427" t="n"/>
    </row>
    <row r="925" customFormat="1" s="343">
      <c r="B925" s="427" t="n"/>
    </row>
    <row r="926" customFormat="1" s="343">
      <c r="B926" s="427" t="n"/>
    </row>
    <row r="927" customFormat="1" s="343">
      <c r="B927" s="427" t="n"/>
    </row>
    <row r="928" customFormat="1" s="343">
      <c r="B928" s="427" t="n"/>
    </row>
    <row r="929" customFormat="1" s="343">
      <c r="B929" s="427" t="n"/>
    </row>
    <row r="930" customFormat="1" s="343">
      <c r="B930" s="427" t="n"/>
    </row>
    <row r="931" customFormat="1" s="343">
      <c r="B931" s="427" t="n"/>
    </row>
    <row r="932" customFormat="1" s="343">
      <c r="B932" s="427" t="n"/>
    </row>
    <row r="933" customFormat="1" s="343">
      <c r="B933" s="427" t="n"/>
    </row>
    <row r="934" customFormat="1" s="343">
      <c r="B934" s="427" t="n"/>
    </row>
    <row r="935" customFormat="1" s="343">
      <c r="B935" s="427" t="n"/>
    </row>
    <row r="936" customFormat="1" s="343">
      <c r="B936" s="427" t="n"/>
    </row>
    <row r="937" customFormat="1" s="343">
      <c r="B937" s="427" t="n"/>
    </row>
    <row r="938" customFormat="1" s="343">
      <c r="B938" s="427" t="n"/>
    </row>
    <row r="939" customFormat="1" s="343">
      <c r="B939" s="427" t="n"/>
    </row>
    <row r="940" customFormat="1" s="343">
      <c r="B940" s="427" t="n"/>
    </row>
    <row r="941" customFormat="1" s="343">
      <c r="B941" s="427" t="n"/>
    </row>
    <row r="942" customFormat="1" s="343">
      <c r="B942" s="427" t="n"/>
    </row>
    <row r="943" customFormat="1" s="343">
      <c r="B943" s="427" t="n"/>
    </row>
    <row r="944" customFormat="1" s="343">
      <c r="B944" s="427" t="n"/>
    </row>
    <row r="945" customFormat="1" s="343">
      <c r="B945" s="427" t="n"/>
    </row>
    <row r="946" customFormat="1" s="343">
      <c r="B946" s="427" t="n"/>
    </row>
    <row r="947" customFormat="1" s="343">
      <c r="B947" s="427" t="n"/>
    </row>
    <row r="948" customFormat="1" s="343">
      <c r="B948" s="427" t="n"/>
    </row>
    <row r="949" customFormat="1" s="343">
      <c r="B949" s="427" t="n"/>
    </row>
    <row r="950" customFormat="1" s="343">
      <c r="B950" s="427" t="n"/>
    </row>
    <row r="951" customFormat="1" s="343">
      <c r="B951" s="427" t="n"/>
    </row>
    <row r="952" customFormat="1" s="343">
      <c r="B952" s="427" t="n"/>
    </row>
    <row r="953" customFormat="1" s="343">
      <c r="B953" s="427" t="n"/>
    </row>
    <row r="954" customFormat="1" s="343">
      <c r="B954" s="427" t="n"/>
    </row>
    <row r="955" customFormat="1" s="343">
      <c r="B955" s="427" t="n"/>
    </row>
    <row r="956" customFormat="1" s="343">
      <c r="B956" s="427" t="n"/>
    </row>
    <row r="957" customFormat="1" s="343">
      <c r="B957" s="427" t="n"/>
    </row>
    <row r="958" customFormat="1" s="343">
      <c r="B958" s="427" t="n"/>
    </row>
    <row r="959" customFormat="1" s="343">
      <c r="B959" s="427" t="n"/>
    </row>
    <row r="960" customFormat="1" s="343">
      <c r="B960" s="427" t="n"/>
    </row>
    <row r="961" customFormat="1" s="343">
      <c r="B961" s="427" t="n"/>
    </row>
    <row r="962" customFormat="1" s="343">
      <c r="B962" s="427" t="n"/>
    </row>
    <row r="963" customFormat="1" s="343">
      <c r="B963" s="427" t="n"/>
    </row>
    <row r="964" customFormat="1" s="343">
      <c r="B964" s="427" t="n"/>
    </row>
    <row r="965" customFormat="1" s="343">
      <c r="B965" s="427" t="n"/>
    </row>
    <row r="966" customFormat="1" s="343">
      <c r="B966" s="427" t="n"/>
    </row>
    <row r="967" customFormat="1" s="343">
      <c r="B967" s="427" t="n"/>
    </row>
    <row r="968" customFormat="1" s="343">
      <c r="B968" s="427" t="n"/>
    </row>
    <row r="969" customFormat="1" s="343">
      <c r="B969" s="427" t="n"/>
    </row>
    <row r="970" customFormat="1" s="343">
      <c r="B970" s="427" t="n"/>
    </row>
    <row r="971" customFormat="1" s="343">
      <c r="B971" s="427" t="n"/>
    </row>
    <row r="972" customFormat="1" s="343">
      <c r="B972" s="427" t="n"/>
    </row>
    <row r="973" customFormat="1" s="343">
      <c r="B973" s="427" t="n"/>
    </row>
    <row r="974" customFormat="1" s="343">
      <c r="B974" s="427" t="n"/>
    </row>
    <row r="975" customFormat="1" s="343">
      <c r="B975" s="427" t="n"/>
    </row>
    <row r="976" customFormat="1" s="343">
      <c r="B976" s="427" t="n"/>
    </row>
    <row r="977" customFormat="1" s="343">
      <c r="B977" s="427" t="n"/>
    </row>
    <row r="978" customFormat="1" s="343">
      <c r="B978" s="427" t="n"/>
    </row>
    <row r="979" customFormat="1" s="343">
      <c r="B979" s="427" t="n"/>
    </row>
    <row r="980" customFormat="1" s="343">
      <c r="B980" s="427" t="n"/>
    </row>
    <row r="981" customFormat="1" s="343">
      <c r="B981" s="427" t="n"/>
    </row>
    <row r="982" customFormat="1" s="343">
      <c r="B982" s="427" t="n"/>
    </row>
    <row r="983" customFormat="1" s="343">
      <c r="B983" s="427" t="n"/>
    </row>
    <row r="984" customFormat="1" s="343">
      <c r="B984" s="427" t="n"/>
    </row>
    <row r="985" customFormat="1" s="343">
      <c r="B985" s="427" t="n"/>
    </row>
    <row r="986" customFormat="1" s="343">
      <c r="B986" s="427" t="n"/>
    </row>
    <row r="987" customFormat="1" s="343">
      <c r="B987" s="427" t="n"/>
    </row>
    <row r="988" customFormat="1" s="343">
      <c r="B988" s="427" t="n"/>
    </row>
    <row r="989" customFormat="1" s="343">
      <c r="B989" s="427" t="n"/>
    </row>
    <row r="990" customFormat="1" s="343">
      <c r="B990" s="427" t="n"/>
    </row>
    <row r="991" customFormat="1" s="343">
      <c r="B991" s="427" t="n"/>
    </row>
    <row r="992" customFormat="1" s="343">
      <c r="B992" s="427" t="n"/>
    </row>
    <row r="993" customFormat="1" s="343">
      <c r="B993" s="427" t="n"/>
    </row>
    <row r="994" customFormat="1" s="343">
      <c r="B994" s="427" t="n"/>
    </row>
    <row r="995" customFormat="1" s="343">
      <c r="B995" s="427" t="n"/>
    </row>
    <row r="996" customFormat="1" s="343">
      <c r="B996" s="427" t="n"/>
    </row>
    <row r="997" customFormat="1" s="343">
      <c r="B997" s="427" t="n"/>
    </row>
    <row r="998" customFormat="1" s="343">
      <c r="B998" s="427" t="n"/>
    </row>
    <row r="999" customFormat="1" s="343">
      <c r="B999" s="427" t="n"/>
    </row>
    <row r="1000" customFormat="1" s="343">
      <c r="B1000" s="427" t="n"/>
    </row>
    <row r="1001" customFormat="1" s="343">
      <c r="B1001" s="427" t="n"/>
    </row>
    <row r="1002" customFormat="1" s="343">
      <c r="B1002" s="427" t="n"/>
    </row>
    <row r="1003" customFormat="1" s="343">
      <c r="B1003" s="427" t="n"/>
    </row>
    <row r="1004" customFormat="1" s="343">
      <c r="B1004" s="427" t="n"/>
    </row>
    <row r="1005" customFormat="1" s="343">
      <c r="B1005" s="427" t="n"/>
    </row>
    <row r="1006" customFormat="1" s="343">
      <c r="B1006" s="427" t="n"/>
    </row>
    <row r="1007" customFormat="1" s="343">
      <c r="B1007" s="427" t="n"/>
    </row>
    <row r="1008" customFormat="1" s="343">
      <c r="B1008" s="427" t="n"/>
    </row>
    <row r="1009" customFormat="1" s="343">
      <c r="B1009" s="427" t="n"/>
    </row>
    <row r="1010" customFormat="1" s="343">
      <c r="B1010" s="427" t="n"/>
    </row>
    <row r="1011" customFormat="1" s="343">
      <c r="B1011" s="427" t="n"/>
    </row>
    <row r="1012" customFormat="1" s="343">
      <c r="B1012" s="427" t="n"/>
    </row>
    <row r="1013" customFormat="1" s="343">
      <c r="B1013" s="427" t="n"/>
    </row>
    <row r="1014" customFormat="1" s="343">
      <c r="B1014" s="427" t="n"/>
    </row>
    <row r="1015" customFormat="1" s="343">
      <c r="B1015" s="427" t="n"/>
    </row>
    <row r="1016" customFormat="1" s="343">
      <c r="B1016" s="427" t="n"/>
    </row>
    <row r="1017" customFormat="1" s="343">
      <c r="B1017" s="427" t="n"/>
    </row>
    <row r="1018" customFormat="1" s="343">
      <c r="B1018" s="427" t="n"/>
    </row>
    <row r="1019" customFormat="1" s="343">
      <c r="B1019" s="427" t="n"/>
    </row>
    <row r="1020" customFormat="1" s="343">
      <c r="B1020" s="427" t="n"/>
    </row>
    <row r="1021" customFormat="1" s="343">
      <c r="B1021" s="427" t="n"/>
    </row>
    <row r="1022" customFormat="1" s="343">
      <c r="B1022" s="427" t="n"/>
    </row>
    <row r="1023" customFormat="1" s="343">
      <c r="B1023" s="427" t="n"/>
    </row>
    <row r="1024" customFormat="1" s="343">
      <c r="B1024" s="427" t="n"/>
    </row>
    <row r="1025" customFormat="1" s="343">
      <c r="B1025" s="427" t="n"/>
    </row>
    <row r="1026" customFormat="1" s="343">
      <c r="B1026" s="427" t="n"/>
    </row>
    <row r="1027" customFormat="1" s="343">
      <c r="B1027" s="427" t="n"/>
    </row>
    <row r="1028" customFormat="1" s="343">
      <c r="B1028" s="427" t="n"/>
    </row>
    <row r="1029" customFormat="1" s="343">
      <c r="B1029" s="427" t="n"/>
    </row>
    <row r="1030" customFormat="1" s="343">
      <c r="B1030" s="427" t="n"/>
    </row>
    <row r="1031" customFormat="1" s="343">
      <c r="B1031" s="427" t="n"/>
    </row>
    <row r="1032" customFormat="1" s="343">
      <c r="B1032" s="427" t="n"/>
    </row>
    <row r="1033" customFormat="1" s="343">
      <c r="B1033" s="427" t="n"/>
    </row>
    <row r="1034" customFormat="1" s="343">
      <c r="B1034" s="427" t="n"/>
    </row>
    <row r="1035" customFormat="1" s="343">
      <c r="B1035" s="427" t="n"/>
    </row>
    <row r="1036" customFormat="1" s="343">
      <c r="B1036" s="427" t="n"/>
    </row>
    <row r="1037" customFormat="1" s="343">
      <c r="B1037" s="427" t="n"/>
    </row>
    <row r="1038" customFormat="1" s="343">
      <c r="B1038" s="427" t="n"/>
    </row>
    <row r="1039" customFormat="1" s="343">
      <c r="B1039" s="427" t="n"/>
    </row>
    <row r="1040" customFormat="1" s="343">
      <c r="B1040" s="427" t="n"/>
    </row>
    <row r="1041" customFormat="1" s="343">
      <c r="B1041" s="427" t="n"/>
    </row>
    <row r="1042" customFormat="1" s="343">
      <c r="B1042" s="427" t="n"/>
    </row>
    <row r="1043" customFormat="1" s="343">
      <c r="B1043" s="427" t="n"/>
    </row>
    <row r="1044" customFormat="1" s="343">
      <c r="B1044" s="427" t="n"/>
    </row>
    <row r="1045" customFormat="1" s="343">
      <c r="B1045" s="427" t="n"/>
    </row>
    <row r="1046" customFormat="1" s="343">
      <c r="B1046" s="427" t="n"/>
    </row>
    <row r="1047" customFormat="1" s="343">
      <c r="B1047" s="427" t="n"/>
    </row>
    <row r="1048" customFormat="1" s="343">
      <c r="B1048" s="427" t="n"/>
    </row>
    <row r="1049" customFormat="1" s="343">
      <c r="B1049" s="427" t="n"/>
    </row>
    <row r="1050" customFormat="1" s="343">
      <c r="B1050" s="427" t="n"/>
    </row>
    <row r="1051" customFormat="1" s="343">
      <c r="B1051" s="427" t="n"/>
    </row>
    <row r="1052" customFormat="1" s="343">
      <c r="B1052" s="427" t="n"/>
    </row>
    <row r="1053" customFormat="1" s="343">
      <c r="B1053" s="427" t="n"/>
    </row>
    <row r="1054" customFormat="1" s="343">
      <c r="B1054" s="427" t="n"/>
    </row>
    <row r="1055" customFormat="1" s="343">
      <c r="B1055" s="427" t="n"/>
    </row>
    <row r="1056" customFormat="1" s="343">
      <c r="B1056" s="427" t="n"/>
    </row>
    <row r="1057" customFormat="1" s="343">
      <c r="B1057" s="427" t="n"/>
    </row>
    <row r="1058" customFormat="1" s="343">
      <c r="B1058" s="427" t="n"/>
    </row>
    <row r="1059" customFormat="1" s="343">
      <c r="B1059" s="427" t="n"/>
    </row>
    <row r="1060" customFormat="1" s="343">
      <c r="B1060" s="427" t="n"/>
    </row>
    <row r="1061" customFormat="1" s="343">
      <c r="B1061" s="427" t="n"/>
    </row>
    <row r="1062" customFormat="1" s="343">
      <c r="B1062" s="427" t="n"/>
    </row>
    <row r="1063" customFormat="1" s="343">
      <c r="B1063" s="427" t="n"/>
    </row>
    <row r="1064" customFormat="1" s="343">
      <c r="B1064" s="427" t="n"/>
    </row>
    <row r="1065" customFormat="1" s="343">
      <c r="B1065" s="427" t="n"/>
    </row>
    <row r="1066" customFormat="1" s="343">
      <c r="B1066" s="427" t="n"/>
    </row>
    <row r="1067" customFormat="1" s="343">
      <c r="B1067" s="427" t="n"/>
    </row>
    <row r="1068" customFormat="1" s="343">
      <c r="B1068" s="427" t="n"/>
    </row>
    <row r="1069" customFormat="1" s="343">
      <c r="B1069" s="427" t="n"/>
    </row>
    <row r="1070" customFormat="1" s="343">
      <c r="B1070" s="427" t="n"/>
    </row>
    <row r="1071" customFormat="1" s="343">
      <c r="B1071" s="427" t="n"/>
    </row>
    <row r="1072" customFormat="1" s="343">
      <c r="B1072" s="427" t="n"/>
    </row>
    <row r="1073" customFormat="1" s="343">
      <c r="B1073" s="427" t="n"/>
    </row>
    <row r="1074" customFormat="1" s="343">
      <c r="B1074" s="427" t="n"/>
    </row>
    <row r="1075" customFormat="1" s="343">
      <c r="B1075" s="427" t="n"/>
    </row>
    <row r="1076" customFormat="1" s="343">
      <c r="B1076" s="427" t="n"/>
    </row>
    <row r="1077" customFormat="1" s="343">
      <c r="B1077" s="427" t="n"/>
    </row>
    <row r="1078" customFormat="1" s="343">
      <c r="B1078" s="427" t="n"/>
    </row>
    <row r="1079" customFormat="1" s="343">
      <c r="B1079" s="427" t="n"/>
    </row>
    <row r="1080" customFormat="1" s="343">
      <c r="B1080" s="427" t="n"/>
    </row>
    <row r="1081" customFormat="1" s="343">
      <c r="B1081" s="427" t="n"/>
    </row>
    <row r="1082" customFormat="1" s="343">
      <c r="B1082" s="427" t="n"/>
    </row>
    <row r="1083" customFormat="1" s="343">
      <c r="B1083" s="427" t="n"/>
    </row>
    <row r="1084" customFormat="1" s="343">
      <c r="B1084" s="427" t="n"/>
    </row>
    <row r="1085" customFormat="1" s="343">
      <c r="B1085" s="427" t="n"/>
    </row>
    <row r="1086" customFormat="1" s="343">
      <c r="B1086" s="427" t="n"/>
    </row>
    <row r="1087" customFormat="1" s="343">
      <c r="B1087" s="427" t="n"/>
    </row>
    <row r="1088" customFormat="1" s="343">
      <c r="B1088" s="427" t="n"/>
    </row>
    <row r="1089" customFormat="1" s="343">
      <c r="B1089" s="427" t="n"/>
    </row>
    <row r="1090" customFormat="1" s="343">
      <c r="B1090" s="427" t="n"/>
    </row>
    <row r="1091" customFormat="1" s="343">
      <c r="B1091" s="427" t="n"/>
    </row>
    <row r="1092" customFormat="1" s="343">
      <c r="B1092" s="427" t="n"/>
    </row>
    <row r="1093" customFormat="1" s="343">
      <c r="B1093" s="427" t="n"/>
    </row>
    <row r="1094" customFormat="1" s="343">
      <c r="B1094" s="427" t="n"/>
    </row>
    <row r="1095" customFormat="1" s="343">
      <c r="B1095" s="427" t="n"/>
    </row>
    <row r="1096" customFormat="1" s="343">
      <c r="B1096" s="427" t="n"/>
    </row>
    <row r="1097" customFormat="1" s="343">
      <c r="B1097" s="427" t="n"/>
    </row>
    <row r="1098" customFormat="1" s="343">
      <c r="B1098" s="427" t="n"/>
    </row>
    <row r="1099" customFormat="1" s="343">
      <c r="B1099" s="427" t="n"/>
    </row>
    <row r="1100" customFormat="1" s="343">
      <c r="B1100" s="427" t="n"/>
    </row>
    <row r="1101" customFormat="1" s="343">
      <c r="B1101" s="427" t="n"/>
    </row>
    <row r="1102" customFormat="1" s="343">
      <c r="B1102" s="427" t="n"/>
    </row>
    <row r="1103" customFormat="1" s="343">
      <c r="B1103" s="427" t="n"/>
    </row>
    <row r="1104" customFormat="1" s="343">
      <c r="B1104" s="427" t="n"/>
    </row>
    <row r="1105" customFormat="1" s="343">
      <c r="B1105" s="427" t="n"/>
    </row>
    <row r="1106" customFormat="1" s="343">
      <c r="B1106" s="427" t="n"/>
    </row>
    <row r="1107" customFormat="1" s="343">
      <c r="B1107" s="427" t="n"/>
    </row>
    <row r="1108" customFormat="1" s="343">
      <c r="B1108" s="427" t="n"/>
    </row>
    <row r="1109" customFormat="1" s="343">
      <c r="B1109" s="427" t="n"/>
    </row>
    <row r="1110" customFormat="1" s="343">
      <c r="B1110" s="427" t="n"/>
    </row>
    <row r="1111" customFormat="1" s="343">
      <c r="B1111" s="427" t="n"/>
    </row>
    <row r="1112" customFormat="1" s="343">
      <c r="B1112" s="427" t="n"/>
    </row>
    <row r="1113" customFormat="1" s="343">
      <c r="B1113" s="427" t="n"/>
    </row>
    <row r="1114" customFormat="1" s="343">
      <c r="B1114" s="427" t="n"/>
    </row>
    <row r="1115" customFormat="1" s="343">
      <c r="B1115" s="427" t="n"/>
    </row>
    <row r="1116" customFormat="1" s="343">
      <c r="B1116" s="427" t="n"/>
    </row>
    <row r="1117" customFormat="1" s="343">
      <c r="B1117" s="427" t="n"/>
    </row>
    <row r="1118" customFormat="1" s="343">
      <c r="B1118" s="427" t="n"/>
    </row>
    <row r="1119" customFormat="1" s="343">
      <c r="B1119" s="427" t="n"/>
    </row>
    <row r="1120" customFormat="1" s="343">
      <c r="B1120" s="427" t="n"/>
    </row>
    <row r="1121" customFormat="1" s="343">
      <c r="B1121" s="427" t="n"/>
    </row>
    <row r="1122" customFormat="1" s="343">
      <c r="B1122" s="427" t="n"/>
    </row>
    <row r="1123" customFormat="1" s="343">
      <c r="B1123" s="427" t="n"/>
    </row>
    <row r="1124" customFormat="1" s="343">
      <c r="B1124" s="427" t="n"/>
    </row>
    <row r="1125" customFormat="1" s="343">
      <c r="B1125" s="427" t="n"/>
    </row>
    <row r="1126" customFormat="1" s="343">
      <c r="B1126" s="427" t="n"/>
    </row>
    <row r="1127" customFormat="1" s="343">
      <c r="B1127" s="427" t="n"/>
    </row>
    <row r="1128" customFormat="1" s="343">
      <c r="B1128" s="427" t="n"/>
    </row>
    <row r="1129" customFormat="1" s="343">
      <c r="B1129" s="427" t="n"/>
    </row>
    <row r="1130" customFormat="1" s="343">
      <c r="B1130" s="427" t="n"/>
    </row>
    <row r="1131" customFormat="1" s="343">
      <c r="B1131" s="427" t="n"/>
    </row>
    <row r="1132" customFormat="1" s="343">
      <c r="B1132" s="427" t="n"/>
    </row>
    <row r="1133" customFormat="1" s="343">
      <c r="B1133" s="427" t="n"/>
    </row>
    <row r="1134" customFormat="1" s="343">
      <c r="B1134" s="427" t="n"/>
    </row>
    <row r="1135" customFormat="1" s="343">
      <c r="B1135" s="427" t="n"/>
    </row>
    <row r="1136" customFormat="1" s="343">
      <c r="B1136" s="427" t="n"/>
    </row>
    <row r="1137" customFormat="1" s="343">
      <c r="B1137" s="427" t="n"/>
    </row>
    <row r="1138" customFormat="1" s="343">
      <c r="B1138" s="427" t="n"/>
    </row>
    <row r="1139" customFormat="1" s="343">
      <c r="B1139" s="427" t="n"/>
    </row>
    <row r="1140" customFormat="1" s="343">
      <c r="B1140" s="427" t="n"/>
    </row>
    <row r="1141" customFormat="1" s="343">
      <c r="B1141" s="427" t="n"/>
    </row>
    <row r="1142" customFormat="1" s="343">
      <c r="B1142" s="427" t="n"/>
    </row>
    <row r="1143" customFormat="1" s="343">
      <c r="B1143" s="427" t="n"/>
    </row>
    <row r="1144" customFormat="1" s="343">
      <c r="B1144" s="427" t="n"/>
    </row>
    <row r="1145" customFormat="1" s="343">
      <c r="B1145" s="427" t="n"/>
    </row>
    <row r="1146" customFormat="1" s="343">
      <c r="B1146" s="427" t="n"/>
    </row>
    <row r="1147" customFormat="1" s="343">
      <c r="B1147" s="427" t="n"/>
    </row>
    <row r="1148" customFormat="1" s="343">
      <c r="B1148" s="427" t="n"/>
    </row>
    <row r="1149" customFormat="1" s="343">
      <c r="B1149" s="427" t="n"/>
    </row>
    <row r="1150" customFormat="1" s="343">
      <c r="B1150" s="427" t="n"/>
    </row>
    <row r="1151" customFormat="1" s="343">
      <c r="B1151" s="427" t="n"/>
    </row>
    <row r="1152" customFormat="1" s="343">
      <c r="B1152" s="427" t="n"/>
    </row>
    <row r="1153" customFormat="1" s="343">
      <c r="B1153" s="427" t="n"/>
    </row>
    <row r="1154" customFormat="1" s="343">
      <c r="B1154" s="427" t="n"/>
    </row>
    <row r="1155" customFormat="1" s="343">
      <c r="B1155" s="427" t="n"/>
    </row>
    <row r="1156" customFormat="1" s="343">
      <c r="B1156" s="427" t="n"/>
    </row>
    <row r="1157" customFormat="1" s="343">
      <c r="B1157" s="427" t="n"/>
    </row>
    <row r="1158" customFormat="1" s="343">
      <c r="B1158" s="427" t="n"/>
    </row>
    <row r="1159" customFormat="1" s="343">
      <c r="B1159" s="427" t="n"/>
    </row>
    <row r="1160" customFormat="1" s="343">
      <c r="B1160" s="427" t="n"/>
    </row>
    <row r="1161" customFormat="1" s="343">
      <c r="B1161" s="427" t="n"/>
    </row>
    <row r="1162" customFormat="1" s="343">
      <c r="B1162" s="427" t="n"/>
    </row>
    <row r="1163" customFormat="1" s="343">
      <c r="B1163" s="427" t="n"/>
    </row>
    <row r="1164" customFormat="1" s="343">
      <c r="B1164" s="427" t="n"/>
    </row>
    <row r="1165" customFormat="1" s="343">
      <c r="B1165" s="427" t="n"/>
    </row>
    <row r="1166" customFormat="1" s="343">
      <c r="B1166" s="427" t="n"/>
    </row>
    <row r="1167" customFormat="1" s="343">
      <c r="B1167" s="427" t="n"/>
    </row>
    <row r="1168" customFormat="1" s="343">
      <c r="B1168" s="427" t="n"/>
    </row>
    <row r="1169" customFormat="1" s="343">
      <c r="B1169" s="427" t="n"/>
    </row>
    <row r="1170" customFormat="1" s="343">
      <c r="B1170" s="427" t="n"/>
    </row>
    <row r="1171" customFormat="1" s="343">
      <c r="B1171" s="427" t="n"/>
    </row>
    <row r="1172" customFormat="1" s="343">
      <c r="B1172" s="427" t="n"/>
    </row>
    <row r="1173" customFormat="1" s="343">
      <c r="B1173" s="427" t="n"/>
    </row>
    <row r="1174" customFormat="1" s="343">
      <c r="B1174" s="427" t="n"/>
    </row>
    <row r="1175" customFormat="1" s="343">
      <c r="B1175" s="427" t="n"/>
    </row>
    <row r="1176" customFormat="1" s="343">
      <c r="B1176" s="427" t="n"/>
    </row>
    <row r="1177" customFormat="1" s="343">
      <c r="B1177" s="427" t="n"/>
    </row>
    <row r="1178" customFormat="1" s="343">
      <c r="B1178" s="427" t="n"/>
    </row>
    <row r="1179" customFormat="1" s="343">
      <c r="B1179" s="427" t="n"/>
    </row>
    <row r="1180" customFormat="1" s="343">
      <c r="B1180" s="427" t="n"/>
    </row>
    <row r="1181" customFormat="1" s="343">
      <c r="B1181" s="427" t="n"/>
    </row>
    <row r="1182" customFormat="1" s="343">
      <c r="B1182" s="427" t="n"/>
    </row>
    <row r="1183" customFormat="1" s="343">
      <c r="B1183" s="427" t="n"/>
    </row>
    <row r="1184" customFormat="1" s="343">
      <c r="B1184" s="427" t="n"/>
    </row>
    <row r="1185" customFormat="1" s="343">
      <c r="B1185" s="427" t="n"/>
    </row>
    <row r="1186" customFormat="1" s="343">
      <c r="B1186" s="427" t="n"/>
    </row>
    <row r="1187" customFormat="1" s="343">
      <c r="B1187" s="427" t="n"/>
    </row>
    <row r="1188" customFormat="1" s="343">
      <c r="B1188" s="427" t="n"/>
    </row>
    <row r="1189" customFormat="1" s="343">
      <c r="B1189" s="427" t="n"/>
    </row>
    <row r="1190" customFormat="1" s="343">
      <c r="B1190" s="427" t="n"/>
    </row>
    <row r="1191" customFormat="1" s="343">
      <c r="B1191" s="427" t="n"/>
    </row>
    <row r="1192" customFormat="1" s="343">
      <c r="B1192" s="427" t="n"/>
    </row>
    <row r="1193" customFormat="1" s="343">
      <c r="B1193" s="427" t="n"/>
    </row>
    <row r="1194" customFormat="1" s="343">
      <c r="B1194" s="427" t="n"/>
    </row>
    <row r="1195" customFormat="1" s="343">
      <c r="B1195" s="427" t="n"/>
    </row>
    <row r="1196" customFormat="1" s="343">
      <c r="B1196" s="427" t="n"/>
    </row>
    <row r="1197" customFormat="1" s="343">
      <c r="B1197" s="427" t="n"/>
    </row>
    <row r="1198" customFormat="1" s="343">
      <c r="B1198" s="427" t="n"/>
    </row>
    <row r="1199" customFormat="1" s="343">
      <c r="B1199" s="427" t="n"/>
    </row>
    <row r="1200" customFormat="1" s="343">
      <c r="B1200" s="427" t="n"/>
    </row>
    <row r="1201" customFormat="1" s="343">
      <c r="B1201" s="427" t="n"/>
    </row>
    <row r="1202" customFormat="1" s="343">
      <c r="B1202" s="427" t="n"/>
    </row>
    <row r="1203" customFormat="1" s="343">
      <c r="B1203" s="427" t="n"/>
    </row>
    <row r="1204" customFormat="1" s="343">
      <c r="B1204" s="427" t="n"/>
    </row>
    <row r="1205" customFormat="1" s="343">
      <c r="B1205" s="427" t="n"/>
    </row>
    <row r="1206" customFormat="1" s="343">
      <c r="B1206" s="427" t="n"/>
    </row>
    <row r="1207" customFormat="1" s="343">
      <c r="B1207" s="427" t="n"/>
    </row>
    <row r="1208" customFormat="1" s="343">
      <c r="B1208" s="427" t="n"/>
    </row>
    <row r="1209" customFormat="1" s="343">
      <c r="B1209" s="427" t="n"/>
    </row>
    <row r="1210" customFormat="1" s="343">
      <c r="B1210" s="427" t="n"/>
    </row>
    <row r="1211" customFormat="1" s="343">
      <c r="B1211" s="427" t="n"/>
    </row>
    <row r="1212" customFormat="1" s="343">
      <c r="B1212" s="427" t="n"/>
    </row>
    <row r="1213" customFormat="1" s="343">
      <c r="B1213" s="427" t="n"/>
    </row>
    <row r="1214" customFormat="1" s="343">
      <c r="B1214" s="427" t="n"/>
    </row>
    <row r="1215" customFormat="1" s="343">
      <c r="B1215" s="427" t="n"/>
    </row>
    <row r="1216" customFormat="1" s="343">
      <c r="B1216" s="427" t="n"/>
    </row>
    <row r="1217" customFormat="1" s="343">
      <c r="B1217" s="427" t="n"/>
    </row>
    <row r="1218" customFormat="1" s="343">
      <c r="B1218" s="427" t="n"/>
    </row>
    <row r="1219" customFormat="1" s="343">
      <c r="B1219" s="427" t="n"/>
    </row>
    <row r="1220" customFormat="1" s="343">
      <c r="B1220" s="427" t="n"/>
    </row>
    <row r="1221" customFormat="1" s="343">
      <c r="B1221" s="427" t="n"/>
    </row>
    <row r="1222" customFormat="1" s="343">
      <c r="B1222" s="427" t="n"/>
    </row>
    <row r="1223" customFormat="1" s="343">
      <c r="B1223" s="427" t="n"/>
    </row>
    <row r="1224" customFormat="1" s="343">
      <c r="B1224" s="427" t="n"/>
    </row>
    <row r="1225" customFormat="1" s="343">
      <c r="B1225" s="427" t="n"/>
    </row>
    <row r="1226" customFormat="1" s="343">
      <c r="B1226" s="427" t="n"/>
    </row>
    <row r="1227" customFormat="1" s="343">
      <c r="B1227" s="427" t="n"/>
    </row>
    <row r="1228" customFormat="1" s="343">
      <c r="B1228" s="427" t="n"/>
    </row>
    <row r="1229" customFormat="1" s="343">
      <c r="B1229" s="427" t="n"/>
    </row>
    <row r="1230" customFormat="1" s="343">
      <c r="B1230" s="427" t="n"/>
    </row>
    <row r="1231" customFormat="1" s="343">
      <c r="B1231" s="427" t="n"/>
    </row>
    <row r="1232" customFormat="1" s="343">
      <c r="B1232" s="427" t="n"/>
    </row>
    <row r="1233" customFormat="1" s="343">
      <c r="B1233" s="427" t="n"/>
    </row>
    <row r="1234" customFormat="1" s="343">
      <c r="B1234" s="427" t="n"/>
    </row>
    <row r="1235" customFormat="1" s="343">
      <c r="B1235" s="427" t="n"/>
    </row>
    <row r="1236" customFormat="1" s="343">
      <c r="B1236" s="427" t="n"/>
    </row>
    <row r="1237" customFormat="1" s="343">
      <c r="B1237" s="427" t="n"/>
    </row>
    <row r="1238" customFormat="1" s="343">
      <c r="B1238" s="427" t="n"/>
    </row>
    <row r="1239" customFormat="1" s="343">
      <c r="B1239" s="427" t="n"/>
    </row>
    <row r="1240" customFormat="1" s="343">
      <c r="B1240" s="427" t="n"/>
    </row>
    <row r="1241" customFormat="1" s="343">
      <c r="B1241" s="427" t="n"/>
    </row>
    <row r="1242" customFormat="1" s="343">
      <c r="B1242" s="427" t="n"/>
    </row>
    <row r="1243" customFormat="1" s="343">
      <c r="B1243" s="427" t="n"/>
    </row>
    <row r="1244" customFormat="1" s="343">
      <c r="B1244" s="427" t="n"/>
    </row>
    <row r="1245" customFormat="1" s="343">
      <c r="B1245" s="427" t="n"/>
    </row>
    <row r="1246" customFormat="1" s="343">
      <c r="B1246" s="427" t="n"/>
    </row>
    <row r="1247" customFormat="1" s="343">
      <c r="B1247" s="427" t="n"/>
    </row>
    <row r="1248" customFormat="1" s="343">
      <c r="B1248" s="427" t="n"/>
    </row>
    <row r="1249" customFormat="1" s="343">
      <c r="B1249" s="427" t="n"/>
    </row>
    <row r="1250" customFormat="1" s="343">
      <c r="B1250" s="427" t="n"/>
    </row>
    <row r="1251" customFormat="1" s="343">
      <c r="B1251" s="427" t="n"/>
    </row>
    <row r="1252" customFormat="1" s="343">
      <c r="B1252" s="427" t="n"/>
    </row>
    <row r="1253" customFormat="1" s="343">
      <c r="B1253" s="427" t="n"/>
    </row>
    <row r="1254" customFormat="1" s="343">
      <c r="B1254" s="427" t="n"/>
    </row>
    <row r="1255" customFormat="1" s="343">
      <c r="B1255" s="427" t="n"/>
    </row>
    <row r="1256" customFormat="1" s="343">
      <c r="B1256" s="427" t="n"/>
    </row>
    <row r="1257" customFormat="1" s="343">
      <c r="B1257" s="427" t="n"/>
    </row>
    <row r="1258" customFormat="1" s="343">
      <c r="B1258" s="427" t="n"/>
    </row>
    <row r="1259" customFormat="1" s="343">
      <c r="B1259" s="427" t="n"/>
    </row>
    <row r="1260" customFormat="1" s="343">
      <c r="B1260" s="427" t="n"/>
    </row>
    <row r="1261" customFormat="1" s="343">
      <c r="B1261" s="427" t="n"/>
    </row>
    <row r="1262" customFormat="1" s="343">
      <c r="B1262" s="427" t="n"/>
    </row>
    <row r="1263" customFormat="1" s="343">
      <c r="B1263" s="427" t="n"/>
    </row>
    <row r="1264" customFormat="1" s="343">
      <c r="B1264" s="427" t="n"/>
    </row>
    <row r="1265" customFormat="1" s="343">
      <c r="B1265" s="427" t="n"/>
    </row>
    <row r="1266" customFormat="1" s="343">
      <c r="B1266" s="427" t="n"/>
    </row>
    <row r="1267" customFormat="1" s="343">
      <c r="B1267" s="427" t="n"/>
    </row>
    <row r="1268" customFormat="1" s="343">
      <c r="B1268" s="427" t="n"/>
    </row>
    <row r="1269" customFormat="1" s="343">
      <c r="B1269" s="427" t="n"/>
    </row>
    <row r="1270" customFormat="1" s="343">
      <c r="B1270" s="427" t="n"/>
    </row>
    <row r="1271" customFormat="1" s="343">
      <c r="B1271" s="427" t="n"/>
    </row>
    <row r="1272" customFormat="1" s="343">
      <c r="B1272" s="427" t="n"/>
    </row>
    <row r="1273" customFormat="1" s="343">
      <c r="B1273" s="427" t="n"/>
    </row>
    <row r="1274" customFormat="1" s="343">
      <c r="B1274" s="427" t="n"/>
    </row>
    <row r="1275" customFormat="1" s="343">
      <c r="B1275" s="427" t="n"/>
    </row>
    <row r="1276" customFormat="1" s="343">
      <c r="B1276" s="427" t="n"/>
    </row>
    <row r="1277" customFormat="1" s="343">
      <c r="B1277" s="427" t="n"/>
    </row>
    <row r="1278" customFormat="1" s="343">
      <c r="B1278" s="427" t="n"/>
    </row>
    <row r="1279" customFormat="1" s="343">
      <c r="B1279" s="427" t="n"/>
    </row>
    <row r="1280" customFormat="1" s="343">
      <c r="B1280" s="427" t="n"/>
    </row>
    <row r="1281" customFormat="1" s="343">
      <c r="B1281" s="427" t="n"/>
    </row>
    <row r="1282" customFormat="1" s="343">
      <c r="B1282" s="42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zoomScaleNormal="100" workbookViewId="0">
      <selection activeCell="I38" sqref="I38"/>
    </sheetView>
  </sheetViews>
  <sheetFormatPr baseColWidth="8" defaultRowHeight="14.4"/>
  <cols>
    <col width="34.5546875" bestFit="1" customWidth="1" min="2" max="2"/>
  </cols>
  <sheetData>
    <row r="2">
      <c r="B2" s="69" t="inlineStr">
        <is>
          <t>United Spirits Company Insights</t>
        </is>
      </c>
      <c r="C2" s="70" t="n"/>
      <c r="D2" s="70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</row>
    <row r="3">
      <c r="N3" t="inlineStr">
        <is>
          <t>(in Millions)</t>
        </is>
      </c>
    </row>
    <row r="4">
      <c r="B4" s="63" t="inlineStr">
        <is>
          <t>Product Segments</t>
        </is>
      </c>
      <c r="C4" s="64" t="n">
        <v>2014</v>
      </c>
      <c r="D4" s="64">
        <f>C4+1</f>
        <v/>
      </c>
      <c r="E4" s="64">
        <f>D4+1</f>
        <v/>
      </c>
      <c r="F4" s="64">
        <f>E4+1</f>
        <v/>
      </c>
      <c r="G4" s="64">
        <f>F4+1</f>
        <v/>
      </c>
      <c r="H4" s="64">
        <f>G4+1</f>
        <v/>
      </c>
      <c r="I4" s="64">
        <f>H4+1</f>
        <v/>
      </c>
      <c r="J4" s="64">
        <f>I4+1</f>
        <v/>
      </c>
      <c r="K4" s="64">
        <f>J4+1</f>
        <v/>
      </c>
      <c r="L4" s="64">
        <f>K4+1</f>
        <v/>
      </c>
      <c r="M4" s="64">
        <f>L4+1</f>
        <v/>
      </c>
      <c r="N4" s="64">
        <f>M4+1</f>
        <v/>
      </c>
    </row>
    <row r="5" ht="4.05" customFormat="1" customHeight="1" s="56"/>
    <row r="6">
      <c r="B6" t="inlineStr">
        <is>
          <t>Popular Vol</t>
        </is>
      </c>
      <c r="C6" s="15" t="n">
        <v>87.7</v>
      </c>
      <c r="D6" s="15" t="n">
        <v>82.06</v>
      </c>
      <c r="E6" s="15" t="n">
        <v>59</v>
      </c>
      <c r="F6" s="15" t="n">
        <v>53.2</v>
      </c>
      <c r="G6" s="15" t="n">
        <v>41.3</v>
      </c>
      <c r="H6" s="15" t="n">
        <v>40</v>
      </c>
      <c r="I6" s="15" t="n">
        <v>38.85</v>
      </c>
      <c r="J6" s="15" t="n">
        <v>33.5</v>
      </c>
      <c r="K6" s="15" t="n">
        <v>36.41</v>
      </c>
      <c r="L6" s="15" t="n">
        <v>24.65</v>
      </c>
      <c r="M6" s="15" t="n">
        <v>11.1</v>
      </c>
      <c r="N6" s="15" t="n">
        <v>10.88</v>
      </c>
    </row>
    <row r="7">
      <c r="C7" s="65" t="n"/>
      <c r="D7" s="66">
        <f>LN(D6/C6)</f>
        <v/>
      </c>
      <c r="E7" s="66">
        <f>LN(E6/D6)</f>
        <v/>
      </c>
      <c r="F7" s="66">
        <f>LN(F6/E6)</f>
        <v/>
      </c>
      <c r="G7" s="66">
        <f>LN(G6/F6)</f>
        <v/>
      </c>
      <c r="H7" s="66">
        <f>LN(H6/G6)</f>
        <v/>
      </c>
      <c r="I7" s="66">
        <f>LN(I6/H6)</f>
        <v/>
      </c>
      <c r="J7" s="66">
        <f>LN(J6/I6)</f>
        <v/>
      </c>
      <c r="K7" s="66">
        <f>LN(K6/J6)</f>
        <v/>
      </c>
      <c r="L7" s="66">
        <f>LN(L6/K6)</f>
        <v/>
      </c>
      <c r="M7" s="66">
        <f>LN(M6/L6)</f>
        <v/>
      </c>
      <c r="N7" s="66">
        <f>LN(N6/M6)</f>
        <v/>
      </c>
    </row>
    <row r="8">
      <c r="B8" t="inlineStr">
        <is>
          <t>Prestige &amp; Above (P&amp;A) Vol</t>
        </is>
      </c>
      <c r="C8" s="72" t="n">
        <v>33</v>
      </c>
      <c r="D8" s="72" t="n">
        <v>35</v>
      </c>
      <c r="E8" s="72" t="n">
        <v>34</v>
      </c>
      <c r="F8" s="72" t="n">
        <v>36.8</v>
      </c>
      <c r="G8" s="72" t="n">
        <v>37.2</v>
      </c>
      <c r="H8" s="72" t="n">
        <v>41.6</v>
      </c>
      <c r="I8" s="72" t="n">
        <v>40.9</v>
      </c>
      <c r="J8" s="72" t="n">
        <v>37.2</v>
      </c>
      <c r="K8" s="72" t="n">
        <v>42.74</v>
      </c>
      <c r="L8" s="72" t="n">
        <v>47.85</v>
      </c>
      <c r="M8" s="72" t="n">
        <v>50.3</v>
      </c>
      <c r="N8" s="72" t="n">
        <v>53.12</v>
      </c>
    </row>
    <row r="9">
      <c r="C9" s="65" t="n"/>
      <c r="D9" s="66">
        <f>LN(D8/C8)</f>
        <v/>
      </c>
      <c r="E9" s="66">
        <f>LN(E8/D8)</f>
        <v/>
      </c>
      <c r="F9" s="66">
        <f>LN(F8/E8)</f>
        <v/>
      </c>
      <c r="G9" s="66">
        <f>LN(G8/F8)</f>
        <v/>
      </c>
      <c r="H9" s="66">
        <f>LN(H8/G8)</f>
        <v/>
      </c>
      <c r="I9" s="66">
        <f>LN(I8/H8)</f>
        <v/>
      </c>
      <c r="J9" s="66">
        <f>LN(J8/I8)</f>
        <v/>
      </c>
      <c r="K9" s="66">
        <f>LN(K8/J8)</f>
        <v/>
      </c>
      <c r="L9" s="66">
        <f>LN(L8/K8)</f>
        <v/>
      </c>
      <c r="M9" s="66">
        <f>LN(M8/L8)</f>
        <v/>
      </c>
      <c r="N9" s="66">
        <f>LN(N8/M8)</f>
        <v/>
      </c>
    </row>
    <row r="10">
      <c r="B10" t="inlineStr">
        <is>
          <t>Total Sales Volume</t>
        </is>
      </c>
      <c r="C10" s="15">
        <f>C8+C6</f>
        <v/>
      </c>
      <c r="D10" s="15">
        <f>D8+D6</f>
        <v/>
      </c>
      <c r="E10" s="15">
        <f>E8+E6</f>
        <v/>
      </c>
      <c r="F10" s="15">
        <f>F8+F6</f>
        <v/>
      </c>
      <c r="G10" s="15">
        <f>G8+G6</f>
        <v/>
      </c>
      <c r="H10" s="15">
        <f>H8+H6</f>
        <v/>
      </c>
      <c r="I10" s="15">
        <f>I8+I6</f>
        <v/>
      </c>
      <c r="J10" s="15">
        <f>J8+J6</f>
        <v/>
      </c>
      <c r="K10" s="15">
        <f>K8+K6</f>
        <v/>
      </c>
      <c r="L10" s="15">
        <f>L8+L6</f>
        <v/>
      </c>
      <c r="M10" s="15">
        <f>M8+M6</f>
        <v/>
      </c>
      <c r="N10" s="15">
        <f>N8+N6</f>
        <v/>
      </c>
    </row>
    <row r="11">
      <c r="C11" s="65" t="n"/>
      <c r="D11" s="66">
        <f>LN(D10/C10)</f>
        <v/>
      </c>
      <c r="E11" s="66">
        <f>LN(E10/D10)</f>
        <v/>
      </c>
      <c r="F11" s="66">
        <f>LN(F10/E10)</f>
        <v/>
      </c>
      <c r="G11" s="66">
        <f>LN(G10/F10)</f>
        <v/>
      </c>
      <c r="H11" s="66">
        <f>LN(H10/G10)</f>
        <v/>
      </c>
      <c r="I11" s="66">
        <f>LN(I10/H10)</f>
        <v/>
      </c>
      <c r="J11" s="66">
        <f>LN(J10/I10)</f>
        <v/>
      </c>
      <c r="K11" s="66">
        <f>LN(K10/J10)</f>
        <v/>
      </c>
      <c r="L11" s="66">
        <f>LN(L10/K10)</f>
        <v/>
      </c>
      <c r="M11" s="66">
        <f>LN(M10/L10)</f>
        <v/>
      </c>
      <c r="N11" s="66">
        <f>LN(N10/M10)</f>
        <v/>
      </c>
    </row>
    <row r="12">
      <c r="C12" s="62" t="n"/>
      <c r="D12" s="62" t="n"/>
      <c r="E12" s="62" t="n"/>
      <c r="F12" s="62" t="n"/>
      <c r="G12" s="62" t="n"/>
      <c r="H12" s="62" t="n"/>
      <c r="I12" s="62" t="n"/>
      <c r="J12" s="62" t="n"/>
      <c r="K12" s="62" t="n"/>
      <c r="L12" s="62" t="n"/>
      <c r="M12" s="62" t="n"/>
      <c r="N12" s="62" t="n"/>
    </row>
    <row r="13">
      <c r="B13" s="67" t="inlineStr">
        <is>
          <t>CAGR in P&amp;A Segment</t>
        </is>
      </c>
      <c r="C13" s="68">
        <f>_xlfn.RRI(10,C8,N8)</f>
        <v/>
      </c>
    </row>
    <row r="15">
      <c r="B15" t="inlineStr">
        <is>
          <t>Segment Tier</t>
        </is>
      </c>
      <c r="C15" t="inlineStr">
        <is>
          <t>Category / Product Name</t>
        </is>
      </c>
      <c r="D15" t="inlineStr">
        <is>
          <t>Brand Positioning &amp; Pricing Sub-Tier</t>
        </is>
      </c>
      <c r="E15" t="inlineStr">
        <is>
          <t>Consolidated Value Matrices &amp; Revenue Benchmarks</t>
        </is>
      </c>
    </row>
    <row r="16">
      <c r="B16" t="inlineStr">
        <is>
          <t xml:space="preserve">Prestige &amp; Above (P&amp;A) </t>
        </is>
      </c>
      <c r="C16" t="inlineStr">
        <is>
          <t xml:space="preserve">McDowell's No.1 Whisky </t>
        </is>
      </c>
      <c r="D16" t="inlineStr">
        <is>
          <t xml:space="preserve">Lower Prestige </t>
        </is>
      </c>
      <c r="E16" t="inlineStr">
        <is>
          <t xml:space="preserve">&gt; ₹1,000 Crore Brand </t>
        </is>
      </c>
    </row>
    <row r="17">
      <c r="B17" t="inlineStr">
        <is>
          <t xml:space="preserve">Prestige &amp; Above (P&amp;A) </t>
        </is>
      </c>
      <c r="C17" t="inlineStr">
        <is>
          <t xml:space="preserve">Royal Challenge </t>
        </is>
      </c>
      <c r="D17" t="inlineStr">
        <is>
          <t xml:space="preserve">Mid Prestige </t>
        </is>
      </c>
      <c r="E17" t="inlineStr">
        <is>
          <t xml:space="preserve">&gt; ₹1,000 Crore Brand </t>
        </is>
      </c>
    </row>
    <row r="18">
      <c r="B18" t="inlineStr">
        <is>
          <t xml:space="preserve">Prestige &amp; Above (P&amp;A) </t>
        </is>
      </c>
      <c r="C18" t="inlineStr">
        <is>
          <t xml:space="preserve">Johnnie Walker (Blue, Gold, Black, Double Black, Red, Blonde Label) </t>
        </is>
      </c>
      <c r="D18" t="inlineStr">
        <is>
          <t xml:space="preserve">Luxury &amp; Premium Scotch </t>
        </is>
      </c>
      <c r="E18" t="inlineStr">
        <is>
          <t xml:space="preserve">&gt; ₹1,000 Crore Brand </t>
        </is>
      </c>
    </row>
    <row r="19">
      <c r="B19" t="inlineStr">
        <is>
          <t xml:space="preserve">Prestige &amp; Above (P&amp;A) </t>
        </is>
      </c>
      <c r="C19" t="inlineStr">
        <is>
          <t xml:space="preserve">Black &amp; White </t>
        </is>
      </c>
      <c r="D19" t="inlineStr">
        <is>
          <t xml:space="preserve">Premium Scotch </t>
        </is>
      </c>
      <c r="E19" t="inlineStr">
        <is>
          <t xml:space="preserve">₹500 - ₹1,000 Crore Brand </t>
        </is>
      </c>
    </row>
    <row r="20">
      <c r="B20" t="inlineStr">
        <is>
          <t xml:space="preserve">Prestige &amp; Above (P&amp;A) </t>
        </is>
      </c>
      <c r="C20" t="inlineStr">
        <is>
          <t xml:space="preserve">Black Dog (Triple Gold Reserve, Black Reserve, Millard's Private Reserve) </t>
        </is>
      </c>
      <c r="D20" t="inlineStr">
        <is>
          <t xml:space="preserve">Premium Scotch </t>
        </is>
      </c>
      <c r="E20" t="inlineStr">
        <is>
          <t xml:space="preserve">₹500 - ₹1,000 Crore Brand </t>
        </is>
      </c>
    </row>
    <row r="21">
      <c r="B21" t="inlineStr">
        <is>
          <t xml:space="preserve">Prestige &amp; Above (P&amp;A) </t>
        </is>
      </c>
      <c r="C21" t="inlineStr">
        <is>
          <t xml:space="preserve">Signature (Premier, Rare) </t>
        </is>
      </c>
      <c r="D21" t="inlineStr">
        <is>
          <t xml:space="preserve">Upper Prestige </t>
        </is>
      </c>
      <c r="E21" t="inlineStr">
        <is>
          <t xml:space="preserve">₹500 - ₹1,000 Crore Brand </t>
        </is>
      </c>
    </row>
    <row r="22">
      <c r="B22" t="inlineStr">
        <is>
          <t xml:space="preserve">Prestige &amp; Above (P&amp;A) </t>
        </is>
      </c>
      <c r="C22" t="inlineStr">
        <is>
          <t xml:space="preserve">Royal Challenge American Pride </t>
        </is>
      </c>
      <c r="D22" t="inlineStr">
        <is>
          <t xml:space="preserve">Upper Prestige </t>
        </is>
      </c>
      <c r="E22" t="inlineStr">
        <is>
          <t xml:space="preserve">Prestige Sub-Tier </t>
        </is>
      </c>
    </row>
    <row r="23">
      <c r="B23" t="inlineStr">
        <is>
          <t xml:space="preserve">Prestige &amp; Above (P&amp;A) </t>
        </is>
      </c>
      <c r="C23" t="inlineStr">
        <is>
          <t xml:space="preserve">Godawan (01 Rich &amp; Rounded, 02 Fruit &amp; Spice) </t>
        </is>
      </c>
      <c r="D23" t="inlineStr">
        <is>
          <t xml:space="preserve">Luxury Malts (Artisanal Craft) </t>
        </is>
      </c>
      <c r="E23" t="inlineStr">
        <is>
          <t xml:space="preserve">High-Growth Luxury Core </t>
        </is>
      </c>
    </row>
    <row r="24">
      <c r="B24" t="inlineStr">
        <is>
          <t xml:space="preserve">Prestige &amp; Above (P&amp;A) </t>
        </is>
      </c>
      <c r="C24" t="inlineStr">
        <is>
          <t xml:space="preserve">McDowell's &amp; Co Distiller's Batch </t>
        </is>
      </c>
      <c r="D24" t="inlineStr">
        <is>
          <t xml:space="preserve">Luxury Malts </t>
        </is>
      </c>
      <c r="E24" t="inlineStr">
        <is>
          <t xml:space="preserve">Premium Innovation Core </t>
        </is>
      </c>
    </row>
    <row r="25">
      <c r="B25" t="inlineStr">
        <is>
          <t xml:space="preserve">Prestige &amp; Above (P&amp;A) </t>
        </is>
      </c>
      <c r="C25" t="inlineStr">
        <is>
          <t xml:space="preserve">Don Julio Tequila </t>
        </is>
      </c>
      <c r="D25" t="inlineStr">
        <is>
          <t xml:space="preserve">Premium Luxury Spirits </t>
        </is>
      </c>
      <c r="E25" t="inlineStr">
        <is>
          <t xml:space="preserve">High-Growth Tequila Tier </t>
        </is>
      </c>
    </row>
    <row r="26">
      <c r="B26" t="inlineStr">
        <is>
          <t xml:space="preserve">Prestige &amp; Above (P&amp;A) </t>
        </is>
      </c>
      <c r="C26" t="inlineStr">
        <is>
          <t xml:space="preserve">Smirnoff Vodka (Core &amp; Flavors: Mirchi Mango, Minty Jamun, Zesty Lime) </t>
        </is>
      </c>
      <c r="D26" t="inlineStr">
        <is>
          <t xml:space="preserve">White Spirits / Flavour Range </t>
        </is>
      </c>
      <c r="E26" t="inlineStr">
        <is>
          <t xml:space="preserve">Premium Spirit Core </t>
        </is>
      </c>
    </row>
    <row r="27">
      <c r="B27" t="inlineStr">
        <is>
          <t xml:space="preserve">Prestige &amp; Above (P&amp;A) </t>
        </is>
      </c>
      <c r="C27" t="inlineStr">
        <is>
          <t xml:space="preserve">McDowell's X Series (Gins, Vodkas, Rums) </t>
        </is>
      </c>
      <c r="D27" t="inlineStr">
        <is>
          <t xml:space="preserve">Non-Whisky Prestige Range </t>
        </is>
      </c>
      <c r="E27" t="inlineStr">
        <is>
          <t xml:space="preserve">Segment Extension Line </t>
        </is>
      </c>
    </row>
    <row r="28">
      <c r="B28" t="inlineStr">
        <is>
          <t xml:space="preserve">Prestige &amp; Above (P&amp;A) </t>
        </is>
      </c>
      <c r="C28" t="inlineStr">
        <is>
          <t xml:space="preserve">Tanqueray Gin </t>
        </is>
      </c>
      <c r="D28" t="inlineStr">
        <is>
          <t xml:space="preserve">Premium White Spirits </t>
        </is>
      </c>
      <c r="E28" t="inlineStr">
        <is>
          <t xml:space="preserve">Premium Gin Segment </t>
        </is>
      </c>
    </row>
    <row r="29">
      <c r="B29" t="inlineStr">
        <is>
          <t xml:space="preserve">Prestige &amp; Above (P&amp;A) </t>
        </is>
      </c>
      <c r="C29" t="inlineStr">
        <is>
          <t xml:space="preserve">Other Premium Marks (The Singleton, Baileys Liqueur, Captain Morgan Rum, Cîroc, Ketel One, Antiquity Blue) </t>
        </is>
      </c>
      <c r="D29" t="inlineStr">
        <is>
          <t xml:space="preserve">Premium / Imports / Specialty Liqueurs </t>
        </is>
      </c>
      <c r="E29" t="inlineStr">
        <is>
          <t xml:space="preserve">Distributed Brand Matrix </t>
        </is>
      </c>
    </row>
    <row r="30">
      <c r="B30" t="inlineStr">
        <is>
          <t xml:space="preserve">Popular Segment </t>
        </is>
      </c>
      <c r="C30" t="inlineStr">
        <is>
          <t xml:space="preserve">Director’s Special Black (DSP Black) / Mass Whiskies </t>
        </is>
      </c>
      <c r="D30" t="inlineStr">
        <is>
          <t xml:space="preserve">Value / Mass Spirits </t>
        </is>
      </c>
      <c r="E30" t="inlineStr">
        <is>
          <t xml:space="preserve">Mass Value Contribution </t>
        </is>
      </c>
    </row>
    <row r="31">
      <c r="B31" t="inlineStr">
        <is>
          <t xml:space="preserve">Popular Segment </t>
        </is>
      </c>
      <c r="C31" t="inlineStr">
        <is>
          <t xml:space="preserve">McDowell's No.1 Celebration Rum / Mass Rum Lines </t>
        </is>
      </c>
      <c r="D31" t="inlineStr">
        <is>
          <t xml:space="preserve">Value / Mass Rum </t>
        </is>
      </c>
      <c r="E31" t="inlineStr">
        <is>
          <t xml:space="preserve">Mass Value Contribution </t>
        </is>
      </c>
    </row>
    <row r="32">
      <c r="B32" t="inlineStr">
        <is>
          <t xml:space="preserve">Popular Segment </t>
        </is>
      </c>
      <c r="C32" t="inlineStr">
        <is>
          <t xml:space="preserve">Mass-Market Brandies / Regional Spirits </t>
        </is>
      </c>
      <c r="D32" t="inlineStr">
        <is>
          <t xml:space="preserve">Value / Heritage Spirit Lines </t>
        </is>
      </c>
      <c r="E32" t="inlineStr">
        <is>
          <t xml:space="preserve">Mass Value Contribution 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A54"/>
  <sheetViews>
    <sheetView showGridLines="0" topLeftCell="B1" zoomScale="94" workbookViewId="0">
      <pane xSplit="1" ySplit="3" topLeftCell="C4" activePane="bottomRight" state="frozen"/>
      <selection activeCell="B1" sqref="B1"/>
      <selection pane="topRight" activeCell="C1" sqref="C1"/>
      <selection pane="bottomLeft" activeCell="B4" sqref="B4"/>
      <selection pane="bottomRight" activeCell="C11" sqref="C11"/>
    </sheetView>
  </sheetViews>
  <sheetFormatPr baseColWidth="8" defaultRowHeight="14.4"/>
  <cols>
    <col width="2.77734375" customWidth="1" min="1" max="1"/>
    <col width="51.77734375" customWidth="1" min="2" max="2"/>
    <col width="10" bestFit="1" customWidth="1" style="41" min="3" max="4"/>
    <col width="9.77734375" bestFit="1" customWidth="1" style="41" min="5" max="6"/>
    <col width="10.44140625" bestFit="1" customWidth="1" style="41" min="7" max="7"/>
    <col width="10" bestFit="1" customWidth="1" style="41" min="8" max="10"/>
    <col width="10.44140625" bestFit="1" customWidth="1" style="41" min="11" max="12"/>
  </cols>
  <sheetData>
    <row r="2">
      <c r="C2" s="429" t="n">
        <v>2017</v>
      </c>
      <c r="D2" s="429">
        <f>C2+1</f>
        <v/>
      </c>
      <c r="E2" s="429">
        <f>D2+1</f>
        <v/>
      </c>
      <c r="F2" s="429">
        <f>E2+1</f>
        <v/>
      </c>
      <c r="G2" s="429">
        <f>F2+1</f>
        <v/>
      </c>
      <c r="H2" s="429">
        <f>G2+1</f>
        <v/>
      </c>
      <c r="I2" s="429">
        <f>H2+1</f>
        <v/>
      </c>
      <c r="J2" s="429">
        <f>I2+1</f>
        <v/>
      </c>
      <c r="K2" s="429">
        <f>J2+1</f>
        <v/>
      </c>
      <c r="L2" s="429">
        <f>K2+1</f>
        <v/>
      </c>
    </row>
    <row r="3" ht="1.95" customHeight="1">
      <c r="B3" s="31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</row>
    <row r="4">
      <c r="A4" t="inlineStr">
        <is>
          <t>x</t>
        </is>
      </c>
      <c r="B4" s="7" t="inlineStr">
        <is>
          <t>Cash from Operating Activity -</t>
        </is>
      </c>
      <c r="C4" s="430">
        <f>C5+C11+C12</f>
        <v/>
      </c>
      <c r="D4" s="430">
        <f>D5+D11+D12</f>
        <v/>
      </c>
      <c r="E4" s="430">
        <f>E5+E11+E12</f>
        <v/>
      </c>
      <c r="F4" s="430">
        <f>F5+F11+F12</f>
        <v/>
      </c>
      <c r="G4" s="430">
        <f>G5+G11+G12</f>
        <v/>
      </c>
      <c r="H4" s="430">
        <f>H5+H11+H12</f>
        <v/>
      </c>
      <c r="I4" s="430">
        <f>I5+I11+I12</f>
        <v/>
      </c>
      <c r="J4" s="430">
        <f>J5+J11+J12</f>
        <v/>
      </c>
      <c r="K4" s="430">
        <f>K5+K11+K12</f>
        <v/>
      </c>
      <c r="L4" s="430">
        <f>L5+L11+L12</f>
        <v/>
      </c>
    </row>
    <row r="5">
      <c r="B5" s="8" t="inlineStr">
        <is>
          <t>Profit from operations</t>
        </is>
      </c>
      <c r="C5" s="431" t="n">
        <v>709</v>
      </c>
      <c r="D5" s="431" t="n">
        <v>1372</v>
      </c>
      <c r="E5" s="431" t="n">
        <v>1569</v>
      </c>
      <c r="F5" s="431" t="n">
        <v>1536</v>
      </c>
      <c r="G5" s="431" t="n">
        <v>1121</v>
      </c>
      <c r="H5" s="431" t="n">
        <v>1640</v>
      </c>
      <c r="I5" s="431" t="n">
        <v>1448</v>
      </c>
      <c r="J5" s="431" t="n">
        <v>2100</v>
      </c>
      <c r="K5" s="432" t="n">
        <v>2319</v>
      </c>
      <c r="L5" s="431" t="n">
        <v>2368</v>
      </c>
    </row>
    <row r="6">
      <c r="B6" s="8" t="inlineStr">
        <is>
          <t>Receivables</t>
        </is>
      </c>
      <c r="C6" s="431" t="n">
        <v>-656</v>
      </c>
      <c r="D6" s="431" t="n">
        <v>106</v>
      </c>
      <c r="E6" s="431" t="n">
        <v>84</v>
      </c>
      <c r="F6" s="431" t="n">
        <v>271</v>
      </c>
      <c r="G6" s="431" t="n">
        <v>65</v>
      </c>
      <c r="H6" s="431" t="n">
        <v>-205</v>
      </c>
      <c r="I6" s="431" t="n">
        <v>-276</v>
      </c>
      <c r="J6" s="431" t="n">
        <v>-1045</v>
      </c>
      <c r="K6" s="431" t="n">
        <v>-321</v>
      </c>
      <c r="L6" s="431" t="n">
        <v>-356</v>
      </c>
    </row>
    <row r="7">
      <c r="B7" s="8" t="inlineStr">
        <is>
          <t>Inventory</t>
        </is>
      </c>
      <c r="C7" s="431" t="n">
        <v>38</v>
      </c>
      <c r="D7" s="431" t="n">
        <v>8</v>
      </c>
      <c r="E7" s="431" t="n">
        <v>-15</v>
      </c>
      <c r="F7" s="431" t="n">
        <v>7</v>
      </c>
      <c r="G7" s="431" t="n">
        <v>-124</v>
      </c>
      <c r="H7" s="431" t="n">
        <v>-105</v>
      </c>
      <c r="I7" s="431" t="n">
        <v>-262</v>
      </c>
      <c r="J7" s="431" t="n">
        <v>163</v>
      </c>
      <c r="K7" s="431" t="n">
        <v>-242</v>
      </c>
      <c r="L7" s="431" t="n">
        <v>-359</v>
      </c>
    </row>
    <row r="8">
      <c r="B8" s="8" t="inlineStr">
        <is>
          <t>Payables</t>
        </is>
      </c>
      <c r="C8" s="431" t="n">
        <v>217</v>
      </c>
      <c r="D8" s="431" t="n">
        <v>251</v>
      </c>
      <c r="E8" s="431" t="n">
        <v>-60</v>
      </c>
      <c r="F8" s="431" t="n">
        <v>-201</v>
      </c>
      <c r="G8" s="431" t="n">
        <v>209</v>
      </c>
      <c r="H8" s="431" t="n">
        <v>123</v>
      </c>
      <c r="I8" s="431" t="n">
        <v>203</v>
      </c>
      <c r="J8" s="431" t="n">
        <v>132</v>
      </c>
      <c r="K8" s="431" t="n">
        <v>250</v>
      </c>
      <c r="L8" s="431" t="n">
        <v>223</v>
      </c>
    </row>
    <row r="9">
      <c r="B9" s="8" t="inlineStr">
        <is>
          <t>Loans Advances</t>
        </is>
      </c>
      <c r="C9" s="431" t="n">
        <v>0</v>
      </c>
      <c r="D9" s="431" t="n">
        <v>0</v>
      </c>
      <c r="E9" s="431" t="n">
        <v>0</v>
      </c>
      <c r="F9" s="431" t="n">
        <v>0</v>
      </c>
      <c r="G9" s="431" t="n">
        <v>0</v>
      </c>
      <c r="H9" s="431" t="n">
        <v>0</v>
      </c>
      <c r="I9" s="431" t="n">
        <v>-96</v>
      </c>
      <c r="J9" s="431" t="n">
        <v>154</v>
      </c>
      <c r="K9" s="431" t="n">
        <v>-42</v>
      </c>
      <c r="L9" s="431" t="n">
        <v>0</v>
      </c>
    </row>
    <row r="10">
      <c r="B10" s="8" t="inlineStr">
        <is>
          <t>Other WC items</t>
        </is>
      </c>
      <c r="C10" s="431" t="n">
        <v>539</v>
      </c>
      <c r="D10" s="431" t="n">
        <v>-399</v>
      </c>
      <c r="E10" s="431" t="n">
        <v>208</v>
      </c>
      <c r="F10" s="431" t="n">
        <v>-247</v>
      </c>
      <c r="G10" s="431" t="n">
        <v>654</v>
      </c>
      <c r="H10" s="431" t="n">
        <v>-18</v>
      </c>
      <c r="I10" s="431" t="n">
        <v>-134</v>
      </c>
      <c r="J10" s="431" t="n">
        <v>-49</v>
      </c>
      <c r="K10" s="431" t="n">
        <v>146</v>
      </c>
      <c r="L10" s="431" t="n">
        <v>-87</v>
      </c>
    </row>
    <row r="11">
      <c r="B11" s="8" t="inlineStr">
        <is>
          <t>Working capital changes</t>
        </is>
      </c>
      <c r="C11" s="433">
        <f>SUM(C6:C10)</f>
        <v/>
      </c>
      <c r="D11" s="433">
        <f>SUM(D6:D10)</f>
        <v/>
      </c>
      <c r="E11" s="433">
        <f>SUM(E6:E10)</f>
        <v/>
      </c>
      <c r="F11" s="433">
        <f>SUM(F6:F10)</f>
        <v/>
      </c>
      <c r="G11" s="433">
        <f>SUM(G6:G10)</f>
        <v/>
      </c>
      <c r="H11" s="433">
        <f>SUM(H6:H10)</f>
        <v/>
      </c>
      <c r="I11" s="433">
        <f>SUM(I6:I10)</f>
        <v/>
      </c>
      <c r="J11" s="433">
        <f>SUM(J6:J10)</f>
        <v/>
      </c>
      <c r="K11" s="433">
        <f>SUM(K6:K10)</f>
        <v/>
      </c>
      <c r="L11" s="433">
        <f>SUM(L6:L10)</f>
        <v/>
      </c>
    </row>
    <row r="12">
      <c r="B12" s="8" t="inlineStr">
        <is>
          <t>Direct taxes</t>
        </is>
      </c>
      <c r="C12" s="431" t="n">
        <v>-200</v>
      </c>
      <c r="D12" s="431" t="n">
        <v>-413</v>
      </c>
      <c r="E12" s="431" t="n">
        <v>-837</v>
      </c>
      <c r="F12" s="431" t="n">
        <v>-583</v>
      </c>
      <c r="G12" s="431" t="n">
        <v>-107</v>
      </c>
      <c r="H12" s="431" t="n">
        <v>-457</v>
      </c>
      <c r="I12" s="431" t="n">
        <v>-268</v>
      </c>
      <c r="J12" s="431" t="n">
        <v>-337</v>
      </c>
      <c r="K12" s="431" t="n">
        <v>-163</v>
      </c>
      <c r="L12" s="431" t="n">
        <v>-334</v>
      </c>
    </row>
    <row r="13">
      <c r="B13" s="8" t="inlineStr">
        <is>
          <t>Other operating items</t>
        </is>
      </c>
      <c r="C13" s="431" t="n">
        <v>0</v>
      </c>
      <c r="D13" s="431" t="n">
        <v>0</v>
      </c>
      <c r="E13" s="431" t="n">
        <v>0</v>
      </c>
      <c r="F13" s="431" t="n">
        <v>0</v>
      </c>
      <c r="G13" s="431" t="n">
        <v>0</v>
      </c>
      <c r="H13" s="431" t="n">
        <v>0</v>
      </c>
      <c r="I13" s="431" t="n">
        <v>0</v>
      </c>
      <c r="J13" s="431" t="n">
        <v>0</v>
      </c>
      <c r="K13" s="431" t="n">
        <v>0</v>
      </c>
      <c r="L13" s="431" t="n">
        <v>4</v>
      </c>
    </row>
    <row r="14">
      <c r="B14" s="8" t="n"/>
      <c r="C14" s="431" t="n"/>
      <c r="D14" s="431" t="n"/>
      <c r="E14" s="431" t="n"/>
      <c r="F14" s="431" t="n"/>
      <c r="G14" s="431" t="n"/>
      <c r="H14" s="431" t="n"/>
      <c r="I14" s="431" t="n"/>
      <c r="J14" s="431" t="n"/>
      <c r="K14" s="431" t="n"/>
      <c r="L14" s="431" t="n"/>
    </row>
    <row r="15">
      <c r="A15" t="inlineStr">
        <is>
          <t>x</t>
        </is>
      </c>
      <c r="B15" s="30" t="inlineStr">
        <is>
          <t>Cash from Investing Activity -</t>
        </is>
      </c>
      <c r="C15" s="430">
        <f>SUM(C16:C26)</f>
        <v/>
      </c>
      <c r="D15" s="430">
        <f>SUM(D16:D26)</f>
        <v/>
      </c>
      <c r="E15" s="430">
        <f>SUM(E16:E26)</f>
        <v/>
      </c>
      <c r="F15" s="430">
        <f>SUM(F16:F26)</f>
        <v/>
      </c>
      <c r="G15" s="430">
        <f>SUM(G16:G26)</f>
        <v/>
      </c>
      <c r="H15" s="430">
        <f>SUM(H16:H26)</f>
        <v/>
      </c>
      <c r="I15" s="430">
        <f>SUM(I16:I26)</f>
        <v/>
      </c>
      <c r="J15" s="430">
        <f>SUM(J16:J26)</f>
        <v/>
      </c>
      <c r="K15" s="430">
        <f>SUM(K16:K26)</f>
        <v/>
      </c>
      <c r="L15" s="430">
        <f>SUM(L16:L26)</f>
        <v/>
      </c>
    </row>
    <row r="16">
      <c r="B16" s="8" t="inlineStr">
        <is>
          <t>Fixed assets purchased</t>
        </is>
      </c>
      <c r="C16" s="431" t="n">
        <v>-311</v>
      </c>
      <c r="D16" s="431" t="n">
        <v>-184</v>
      </c>
      <c r="E16" s="431" t="n">
        <v>-173</v>
      </c>
      <c r="F16" s="431" t="n">
        <v>-212</v>
      </c>
      <c r="G16" s="431" t="n">
        <v>-174</v>
      </c>
      <c r="H16" s="431" t="n">
        <v>-134</v>
      </c>
      <c r="I16" s="431" t="n">
        <v>-137</v>
      </c>
      <c r="J16" s="431" t="n">
        <v>-98</v>
      </c>
      <c r="K16" s="431" t="n">
        <v>-162</v>
      </c>
      <c r="L16" s="431" t="n">
        <v>-181</v>
      </c>
      <c r="N16" s="434" t="n"/>
      <c r="V16" t="inlineStr">
        <is>
          <t>Net Change in Cash=CFO+CFI+CFF</t>
        </is>
      </c>
    </row>
    <row r="17">
      <c r="B17" s="8" t="inlineStr">
        <is>
          <t>Fixed assets sold</t>
        </is>
      </c>
      <c r="C17" s="431" t="n">
        <v>53</v>
      </c>
      <c r="D17" s="431" t="n">
        <v>154</v>
      </c>
      <c r="E17" s="431" t="n">
        <v>96</v>
      </c>
      <c r="F17" s="431" t="n">
        <v>12</v>
      </c>
      <c r="G17" s="431" t="n">
        <v>35</v>
      </c>
      <c r="H17" s="431" t="n">
        <v>38</v>
      </c>
      <c r="I17" s="431" t="n">
        <v>27</v>
      </c>
      <c r="J17" s="431" t="n">
        <v>19</v>
      </c>
      <c r="K17" s="431" t="n">
        <v>1</v>
      </c>
      <c r="L17" s="431" t="n">
        <v>253</v>
      </c>
      <c r="Q17" t="n">
        <v>2027</v>
      </c>
      <c r="R17">
        <f>Q17+1</f>
        <v/>
      </c>
      <c r="S17">
        <f>R17+1</f>
        <v/>
      </c>
      <c r="T17">
        <f>S17+1</f>
        <v/>
      </c>
      <c r="W17" t="inlineStr">
        <is>
          <t>CFO=PAT+Depreciation−ΔWC</t>
        </is>
      </c>
    </row>
    <row r="18">
      <c r="B18" s="8" t="inlineStr">
        <is>
          <t>Investments purchased</t>
        </is>
      </c>
      <c r="C18" s="431" t="n">
        <v>0</v>
      </c>
      <c r="D18" s="431" t="n">
        <v>0</v>
      </c>
      <c r="E18" s="431" t="n">
        <v>0</v>
      </c>
      <c r="F18" s="431" t="n">
        <v>0</v>
      </c>
      <c r="G18" s="431" t="n">
        <v>0</v>
      </c>
      <c r="H18" s="431" t="n">
        <v>-1436</v>
      </c>
      <c r="I18" s="431" t="n">
        <v>-8517</v>
      </c>
      <c r="J18" s="431" t="n">
        <v>-1032</v>
      </c>
      <c r="K18" s="431" t="n">
        <v>-1391</v>
      </c>
      <c r="L18" s="431" t="n">
        <v>-1879</v>
      </c>
      <c r="P18" t="inlineStr">
        <is>
          <t>PAT</t>
        </is>
      </c>
      <c r="Q18">
        <f>PL!M23</f>
        <v/>
      </c>
      <c r="R18">
        <f>PL!N23</f>
        <v/>
      </c>
      <c r="S18">
        <f>PL!O23</f>
        <v/>
      </c>
      <c r="T18">
        <f>PL!P23</f>
        <v/>
      </c>
      <c r="AA18" s="108" t="n"/>
    </row>
    <row r="19">
      <c r="B19" s="8" t="inlineStr">
        <is>
          <t>Investments sold</t>
        </is>
      </c>
      <c r="C19" s="431" t="n">
        <v>11</v>
      </c>
      <c r="D19" s="431" t="n">
        <v>130</v>
      </c>
      <c r="E19" s="431" t="n">
        <v>32</v>
      </c>
      <c r="F19" s="431" t="n">
        <v>0</v>
      </c>
      <c r="G19" s="431" t="n">
        <v>0</v>
      </c>
      <c r="H19" s="431" t="n">
        <v>1222</v>
      </c>
      <c r="I19" s="431" t="n">
        <v>8502</v>
      </c>
      <c r="J19" s="431" t="n">
        <v>751</v>
      </c>
      <c r="K19" s="431" t="n">
        <v>1163</v>
      </c>
      <c r="L19" s="431" t="n">
        <v>1701</v>
      </c>
      <c r="P19" t="inlineStr">
        <is>
          <t>DEP</t>
        </is>
      </c>
      <c r="Q19">
        <f>-PL!M14</f>
        <v/>
      </c>
      <c r="R19">
        <f>-PL!N14</f>
        <v/>
      </c>
      <c r="S19">
        <f>-PL!O14</f>
        <v/>
      </c>
      <c r="T19">
        <f>-PL!P14</f>
        <v/>
      </c>
      <c r="AA19" s="108" t="n"/>
    </row>
    <row r="20">
      <c r="B20" s="8" t="inlineStr">
        <is>
          <t>Interest received</t>
        </is>
      </c>
      <c r="C20" s="431" t="n">
        <v>20</v>
      </c>
      <c r="D20" s="431" t="n">
        <v>4</v>
      </c>
      <c r="E20" s="431" t="n">
        <v>6</v>
      </c>
      <c r="F20" s="431" t="n">
        <v>6</v>
      </c>
      <c r="G20" s="431" t="n">
        <v>11</v>
      </c>
      <c r="H20" s="431" t="n">
        <v>6</v>
      </c>
      <c r="I20" s="431" t="n">
        <v>20</v>
      </c>
      <c r="J20" s="431" t="n">
        <v>42</v>
      </c>
      <c r="K20" s="431" t="n">
        <v>36</v>
      </c>
      <c r="L20" s="431" t="n">
        <v>67</v>
      </c>
      <c r="P20" t="inlineStr">
        <is>
          <t>change in wc</t>
        </is>
      </c>
      <c r="Q20">
        <f>-'Working Capital Schedule'!M24</f>
        <v/>
      </c>
      <c r="R20">
        <f>-'Working Capital Schedule'!N24</f>
        <v/>
      </c>
      <c r="S20">
        <f>-'Working Capital Schedule'!O24</f>
        <v/>
      </c>
      <c r="T20">
        <f>-'Working Capital Schedule'!P24</f>
        <v/>
      </c>
      <c r="AA20" s="108" t="n"/>
    </row>
    <row r="21">
      <c r="B21" s="8" t="inlineStr">
        <is>
          <t>Dividends received</t>
        </is>
      </c>
      <c r="C21" s="431" t="n">
        <v>0</v>
      </c>
      <c r="D21" s="431" t="n">
        <v>0</v>
      </c>
      <c r="E21" s="431" t="n">
        <v>0</v>
      </c>
      <c r="F21" s="431" t="n">
        <v>0</v>
      </c>
      <c r="G21" s="431" t="n">
        <v>0</v>
      </c>
      <c r="H21" s="431" t="n">
        <v>0</v>
      </c>
      <c r="I21" s="431" t="n">
        <v>0</v>
      </c>
      <c r="J21" s="431" t="n">
        <v>0</v>
      </c>
      <c r="K21" s="431" t="n">
        <v>0</v>
      </c>
      <c r="L21" s="431" t="n">
        <v>0</v>
      </c>
      <c r="P21" t="inlineStr">
        <is>
          <t>CFO</t>
        </is>
      </c>
      <c r="Q21">
        <f>SUM(Q18:Q20)</f>
        <v/>
      </c>
      <c r="R21">
        <f>SUM(R18:R20)</f>
        <v/>
      </c>
      <c r="S21">
        <f>SUM(S18:S20)</f>
        <v/>
      </c>
      <c r="T21">
        <f>SUM(T18:T20)</f>
        <v/>
      </c>
      <c r="AA21" s="108" t="n"/>
    </row>
    <row r="22">
      <c r="B22" s="8" t="inlineStr">
        <is>
          <t>Invest in subsidiaries</t>
        </is>
      </c>
      <c r="C22" s="431" t="n">
        <v>0</v>
      </c>
      <c r="D22" s="431" t="n">
        <v>0</v>
      </c>
      <c r="E22" s="431" t="n">
        <v>0</v>
      </c>
      <c r="F22" s="431" t="n">
        <v>0</v>
      </c>
      <c r="G22" s="431" t="n">
        <v>0</v>
      </c>
      <c r="H22" s="431" t="n">
        <v>0</v>
      </c>
      <c r="I22" s="431" t="n">
        <v>0</v>
      </c>
      <c r="J22" s="431" t="n">
        <v>0</v>
      </c>
      <c r="K22" s="431" t="n">
        <v>0</v>
      </c>
      <c r="L22" s="431" t="n">
        <v>-40</v>
      </c>
      <c r="P22" t="inlineStr">
        <is>
          <t>CFI</t>
        </is>
      </c>
      <c r="Q22">
        <f>-'Working Schedules'!H42</f>
        <v/>
      </c>
      <c r="R22">
        <f>-'Working Schedules'!I42</f>
        <v/>
      </c>
      <c r="S22">
        <f>-'Working Schedules'!J42</f>
        <v/>
      </c>
      <c r="T22">
        <f>-'Working Schedules'!K42</f>
        <v/>
      </c>
    </row>
    <row r="23">
      <c r="B23" s="8" t="inlineStr">
        <is>
          <t>Investment in group cos</t>
        </is>
      </c>
      <c r="C23" s="431" t="n">
        <v>0</v>
      </c>
      <c r="D23" s="431" t="n">
        <v>0</v>
      </c>
      <c r="E23" s="431" t="n">
        <v>0</v>
      </c>
      <c r="F23" s="431" t="n">
        <v>0</v>
      </c>
      <c r="G23" s="431" t="n">
        <v>-2</v>
      </c>
      <c r="H23" s="431" t="n">
        <v>0</v>
      </c>
      <c r="I23" s="431" t="n">
        <v>-32</v>
      </c>
      <c r="J23" s="431" t="n">
        <v>-15</v>
      </c>
      <c r="K23" s="431" t="n">
        <v>-13</v>
      </c>
      <c r="L23" s="431" t="n">
        <v>0</v>
      </c>
      <c r="P23" t="inlineStr">
        <is>
          <t>CFF</t>
        </is>
      </c>
    </row>
    <row r="24">
      <c r="B24" s="8" t="inlineStr">
        <is>
          <t>Redemp n Canc of Shares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30</v>
      </c>
      <c r="H24" s="431" t="n">
        <v>0</v>
      </c>
      <c r="I24" s="431" t="n">
        <v>32</v>
      </c>
      <c r="J24" s="431" t="n">
        <v>0</v>
      </c>
      <c r="K24" s="431" t="n">
        <v>0</v>
      </c>
      <c r="L24" s="431" t="n">
        <v>0</v>
      </c>
      <c r="P24" t="inlineStr">
        <is>
          <t>dividend pay</t>
        </is>
      </c>
      <c r="Q24">
        <f>BS!M11</f>
        <v/>
      </c>
      <c r="R24">
        <f>BS!N11</f>
        <v/>
      </c>
      <c r="S24">
        <f>BS!O11</f>
        <v/>
      </c>
      <c r="T24">
        <f>BS!P11</f>
        <v/>
      </c>
    </row>
    <row r="25">
      <c r="B25" s="8" t="inlineStr">
        <is>
          <t>Acquisition of companies</t>
        </is>
      </c>
      <c r="C25" s="431" t="n">
        <v>0</v>
      </c>
      <c r="D25" s="431" t="n">
        <v>0</v>
      </c>
      <c r="E25" s="431" t="n">
        <v>-27</v>
      </c>
      <c r="F25" s="431" t="n">
        <v>0</v>
      </c>
      <c r="G25" s="431" t="n">
        <v>0</v>
      </c>
      <c r="H25" s="431" t="n">
        <v>0</v>
      </c>
      <c r="I25" s="431" t="n">
        <v>0</v>
      </c>
      <c r="J25" s="431" t="n">
        <v>0</v>
      </c>
      <c r="K25" s="431" t="n">
        <v>0</v>
      </c>
      <c r="L25" s="431" t="n">
        <v>0</v>
      </c>
      <c r="P25" t="inlineStr">
        <is>
          <t>intererst paid</t>
        </is>
      </c>
      <c r="Q25">
        <f>PL!M18</f>
        <v/>
      </c>
      <c r="R25">
        <f>PL!N18</f>
        <v/>
      </c>
      <c r="S25">
        <f>PL!O18</f>
        <v/>
      </c>
      <c r="T25">
        <f>PL!P18</f>
        <v/>
      </c>
    </row>
    <row r="26">
      <c r="B26" s="8" t="inlineStr">
        <is>
          <t>Other investing items</t>
        </is>
      </c>
      <c r="C26" s="431" t="n">
        <v>0</v>
      </c>
      <c r="D26" s="431" t="n">
        <v>0</v>
      </c>
      <c r="E26" s="431" t="n">
        <v>0</v>
      </c>
      <c r="F26" s="431" t="n">
        <v>0</v>
      </c>
      <c r="G26" s="431" t="n">
        <v>0</v>
      </c>
      <c r="H26" s="431" t="n">
        <v>-10</v>
      </c>
      <c r="I26" s="431" t="n">
        <v>50</v>
      </c>
      <c r="J26" s="431" t="n">
        <v>559</v>
      </c>
      <c r="K26" s="431" t="n">
        <v>-748</v>
      </c>
      <c r="L26" s="431" t="n">
        <v>-349</v>
      </c>
      <c r="P26" t="inlineStr">
        <is>
          <t>Int rece</t>
        </is>
      </c>
      <c r="Q26">
        <f>PL!M16</f>
        <v/>
      </c>
      <c r="R26">
        <f>Q30*6.5%</f>
        <v/>
      </c>
      <c r="S26">
        <f>R30*6.5%</f>
        <v/>
      </c>
      <c r="T26">
        <f>S30*6.5%</f>
        <v/>
      </c>
    </row>
    <row r="27">
      <c r="B27" s="8" t="n"/>
      <c r="C27" s="431" t="n"/>
      <c r="D27" s="431" t="n"/>
      <c r="E27" s="431" t="n"/>
      <c r="F27" s="431" t="n"/>
      <c r="G27" s="431" t="n"/>
      <c r="H27" s="431" t="n"/>
      <c r="I27" s="431" t="n"/>
      <c r="J27" s="431" t="n"/>
      <c r="K27" s="431" t="n"/>
      <c r="L27" s="431" t="n"/>
      <c r="P27" t="inlineStr">
        <is>
          <t>loan pay</t>
        </is>
      </c>
      <c r="Q27">
        <f>'Working Schedules'!H9</f>
        <v/>
      </c>
      <c r="R27">
        <f>'Working Schedules'!I9</f>
        <v/>
      </c>
      <c r="S27">
        <f>'Working Schedules'!J9</f>
        <v/>
      </c>
      <c r="T27">
        <f>'Working Schedules'!K9</f>
        <v/>
      </c>
    </row>
    <row r="28">
      <c r="A28" t="inlineStr">
        <is>
          <t>x</t>
        </is>
      </c>
      <c r="B28" s="30" t="inlineStr">
        <is>
          <t>Cash from Financing Activity -</t>
        </is>
      </c>
      <c r="C28" s="430">
        <f>SUM(C29:C34)</f>
        <v/>
      </c>
      <c r="D28" s="430">
        <f>SUM(D29:D34)</f>
        <v/>
      </c>
      <c r="E28" s="430">
        <f>SUM(E29:E34)</f>
        <v/>
      </c>
      <c r="F28" s="430">
        <f>SUM(F29:F34)</f>
        <v/>
      </c>
      <c r="G28" s="430">
        <f>SUM(G29:G34)</f>
        <v/>
      </c>
      <c r="H28" s="430">
        <f>SUM(H29:H34)</f>
        <v/>
      </c>
      <c r="I28" s="430">
        <f>SUM(I29:I34)</f>
        <v/>
      </c>
      <c r="J28" s="430">
        <f>SUM(J29:J34)</f>
        <v/>
      </c>
      <c r="K28" s="430">
        <f>SUM(K29:K34)</f>
        <v/>
      </c>
      <c r="L28" s="430">
        <f>SUM(L29:L34)</f>
        <v/>
      </c>
      <c r="Q28">
        <f>SUM(Q21:Q27)</f>
        <v/>
      </c>
      <c r="R28">
        <f>SUM(R21:R27)</f>
        <v/>
      </c>
      <c r="S28">
        <f>SUM(S21:S27)</f>
        <v/>
      </c>
      <c r="T28">
        <f>SUM(T21:T27)</f>
        <v/>
      </c>
    </row>
    <row r="29">
      <c r="B29" s="8" t="inlineStr">
        <is>
          <t>Proceeds from borrowings</t>
        </is>
      </c>
      <c r="C29" s="431" t="n">
        <v>2322</v>
      </c>
      <c r="D29" s="431" t="n">
        <v>5044</v>
      </c>
      <c r="E29" s="431" t="n">
        <v>232</v>
      </c>
      <c r="F29" s="431" t="n">
        <v>410</v>
      </c>
      <c r="G29" s="431" t="n">
        <v>0</v>
      </c>
      <c r="H29" s="431" t="n">
        <v>0</v>
      </c>
      <c r="I29" s="431" t="n">
        <v>0</v>
      </c>
      <c r="J29" s="431" t="n">
        <v>25</v>
      </c>
      <c r="K29" s="431" t="n">
        <v>28</v>
      </c>
      <c r="L29" s="431" t="n">
        <v>6</v>
      </c>
      <c r="Q29" t="n">
        <v>3134</v>
      </c>
      <c r="R29">
        <f>Q30</f>
        <v/>
      </c>
      <c r="S29">
        <f>R30</f>
        <v/>
      </c>
      <c r="T29">
        <f>S30</f>
        <v/>
      </c>
    </row>
    <row r="30">
      <c r="B30" s="8" t="inlineStr">
        <is>
          <t>Repayment of borrowings</t>
        </is>
      </c>
      <c r="C30" s="431" t="n">
        <v>-2421</v>
      </c>
      <c r="D30" s="431" t="n">
        <v>-5755</v>
      </c>
      <c r="E30" s="431" t="n">
        <v>-811</v>
      </c>
      <c r="F30" s="431" t="n">
        <v>-968</v>
      </c>
      <c r="G30" s="431" t="n">
        <v>-1484</v>
      </c>
      <c r="H30" s="431" t="n">
        <v>-538</v>
      </c>
      <c r="I30" s="431" t="n">
        <v>-340</v>
      </c>
      <c r="J30" s="431" t="n">
        <v>-1</v>
      </c>
      <c r="K30" s="431" t="n">
        <v>-53</v>
      </c>
      <c r="L30" s="431" t="n">
        <v>-12</v>
      </c>
      <c r="Q30">
        <f>SUM(Q28:Q29)</f>
        <v/>
      </c>
      <c r="R30">
        <f>SUM(R28:R29)</f>
        <v/>
      </c>
      <c r="S30">
        <f>SUM(S28:S29)</f>
        <v/>
      </c>
      <c r="T30">
        <f>SUM(T28:T29)</f>
        <v/>
      </c>
    </row>
    <row r="31">
      <c r="B31" s="8" t="inlineStr">
        <is>
          <t>Interest paid fin</t>
        </is>
      </c>
      <c r="C31" s="431" t="n">
        <v>-375</v>
      </c>
      <c r="D31" s="431" t="n">
        <v>-253</v>
      </c>
      <c r="E31" s="431" t="n">
        <v>-229</v>
      </c>
      <c r="F31" s="431" t="n">
        <v>-181</v>
      </c>
      <c r="G31" s="431" t="n">
        <v>-142</v>
      </c>
      <c r="H31" s="431" t="n">
        <v>-50</v>
      </c>
      <c r="I31" s="431" t="n">
        <v>-36</v>
      </c>
      <c r="J31" s="431" t="n">
        <v>-21</v>
      </c>
      <c r="K31" s="431" t="n">
        <v>-40</v>
      </c>
      <c r="L31" s="431" t="n">
        <v>0</v>
      </c>
    </row>
    <row r="32">
      <c r="B32" s="8" t="inlineStr">
        <is>
          <t>Dividends paid</t>
        </is>
      </c>
      <c r="C32" s="431" t="n">
        <v>0</v>
      </c>
      <c r="D32" s="431" t="n">
        <v>0</v>
      </c>
      <c r="E32" s="431" t="n">
        <v>0</v>
      </c>
      <c r="F32" s="431" t="n">
        <v>0</v>
      </c>
      <c r="G32" s="431" t="n">
        <v>0</v>
      </c>
      <c r="H32" s="431" t="n">
        <v>0</v>
      </c>
      <c r="I32" s="431" t="n">
        <v>0</v>
      </c>
      <c r="J32" s="431" t="n">
        <v>-284</v>
      </c>
      <c r="K32" s="431" t="n">
        <v>-355</v>
      </c>
      <c r="L32" s="431" t="n">
        <v>0</v>
      </c>
    </row>
    <row r="33">
      <c r="B33" s="8" t="inlineStr">
        <is>
          <t>Financial liabilities</t>
        </is>
      </c>
      <c r="C33" s="431" t="n">
        <v>0</v>
      </c>
      <c r="D33" s="431" t="n">
        <v>0</v>
      </c>
      <c r="E33" s="431" t="n">
        <v>0</v>
      </c>
      <c r="F33" s="431" t="n">
        <v>0</v>
      </c>
      <c r="G33" s="431" t="n">
        <v>-81</v>
      </c>
      <c r="H33" s="431" t="n">
        <v>-100</v>
      </c>
      <c r="I33" s="431" t="n">
        <v>-124</v>
      </c>
      <c r="J33" s="431" t="n">
        <v>-126</v>
      </c>
      <c r="K33" s="431" t="n">
        <v>-137</v>
      </c>
      <c r="L33" s="431" t="n">
        <v>-181</v>
      </c>
      <c r="M33" s="434" t="n"/>
    </row>
    <row r="34">
      <c r="B34" s="8" t="inlineStr">
        <is>
          <t>Other financing items</t>
        </is>
      </c>
      <c r="C34" s="431" t="n">
        <v>-1</v>
      </c>
      <c r="D34" s="431" t="n">
        <v>-2</v>
      </c>
      <c r="E34" s="431" t="n">
        <v>0</v>
      </c>
      <c r="F34" s="431" t="n">
        <v>0</v>
      </c>
      <c r="G34" s="431" t="n">
        <v>0</v>
      </c>
      <c r="H34" s="431" t="n">
        <v>0</v>
      </c>
      <c r="I34" s="431" t="n">
        <v>0</v>
      </c>
      <c r="J34" s="431" t="n">
        <v>0</v>
      </c>
      <c r="K34" s="431" t="n">
        <v>0</v>
      </c>
      <c r="L34" s="431" t="n">
        <v>-1263</v>
      </c>
    </row>
    <row r="35">
      <c r="B35" s="8" t="n"/>
      <c r="C35" s="431" t="n"/>
      <c r="D35" s="431" t="n"/>
      <c r="E35" s="431" t="n"/>
      <c r="F35" s="431" t="n"/>
      <c r="G35" s="431" t="n"/>
      <c r="H35" s="431" t="n"/>
      <c r="I35" s="431" t="n"/>
      <c r="J35" s="431" t="n"/>
      <c r="K35" s="431" t="n"/>
      <c r="L35" s="431" t="n"/>
    </row>
    <row r="36">
      <c r="B36" s="7" t="inlineStr">
        <is>
          <t>Net Cash Flow</t>
        </is>
      </c>
      <c r="C36" s="430">
        <f>C4+C15+C28</f>
        <v/>
      </c>
      <c r="D36" s="430">
        <f>D4+D15+D28</f>
        <v/>
      </c>
      <c r="E36" s="430">
        <f>E4+E15+E28</f>
        <v/>
      </c>
      <c r="F36" s="430">
        <f>F4+F15+F28</f>
        <v/>
      </c>
      <c r="G36" s="430">
        <f>G4+G15+G28</f>
        <v/>
      </c>
      <c r="H36" s="430">
        <f>H4+H15+H28</f>
        <v/>
      </c>
      <c r="I36" s="430">
        <f>I4+I15+I28</f>
        <v/>
      </c>
      <c r="J36" s="430">
        <f>J4+J15+J28</f>
        <v/>
      </c>
      <c r="K36" s="430">
        <f>K4+K15+K28</f>
        <v/>
      </c>
      <c r="L36" s="430">
        <f>L4+L15+L28</f>
        <v/>
      </c>
      <c r="Q36" t="n">
        <v>2023</v>
      </c>
      <c r="R36" t="n">
        <v>2024</v>
      </c>
      <c r="S36" t="n">
        <v>2025</v>
      </c>
      <c r="T36" t="n">
        <v>2026</v>
      </c>
    </row>
    <row r="37">
      <c r="A37" t="inlineStr">
        <is>
          <t>x</t>
        </is>
      </c>
      <c r="B37" t="inlineStr">
        <is>
          <t>Free Cash Flow</t>
        </is>
      </c>
      <c r="C37" s="433">
        <f>C4+C16+C17</f>
        <v/>
      </c>
      <c r="D37" s="433">
        <f>D4+D16+D17</f>
        <v/>
      </c>
      <c r="E37" s="433">
        <f>E4+E16+E17</f>
        <v/>
      </c>
      <c r="F37" s="433">
        <f>F4+F16+F17</f>
        <v/>
      </c>
      <c r="G37" s="433">
        <f>G4+G16+G17</f>
        <v/>
      </c>
      <c r="H37" s="433">
        <f>H4+H16+H17</f>
        <v/>
      </c>
      <c r="I37" s="433">
        <f>I4+I16+I17</f>
        <v/>
      </c>
      <c r="J37" s="433">
        <f>J4+J16+J17</f>
        <v/>
      </c>
      <c r="K37" s="433">
        <f>K4+K16+K17</f>
        <v/>
      </c>
      <c r="L37" s="433">
        <f>L4+L16+L17</f>
        <v/>
      </c>
      <c r="P37" t="inlineStr">
        <is>
          <t>PAT</t>
        </is>
      </c>
      <c r="Q37">
        <f>PL!I23</f>
        <v/>
      </c>
      <c r="R37">
        <f>PL!J23</f>
        <v/>
      </c>
      <c r="S37">
        <f>PL!K23</f>
        <v/>
      </c>
      <c r="T37">
        <f>PL!L23</f>
        <v/>
      </c>
    </row>
    <row r="38">
      <c r="P38" t="inlineStr">
        <is>
          <t>Dep</t>
        </is>
      </c>
      <c r="Q38">
        <f>-PL!I14</f>
        <v/>
      </c>
      <c r="R38">
        <f>-PL!J14</f>
        <v/>
      </c>
      <c r="S38">
        <f>-PL!K14</f>
        <v/>
      </c>
      <c r="T38">
        <f>-PL!L14</f>
        <v/>
      </c>
    </row>
    <row r="39">
      <c r="P39" t="inlineStr">
        <is>
          <t>Wcc</t>
        </is>
      </c>
      <c r="Q39">
        <f>-'Working Capital Schedule'!I24</f>
        <v/>
      </c>
      <c r="R39">
        <f>-'Working Capital Schedule'!J24</f>
        <v/>
      </c>
      <c r="S39">
        <f>-'Working Capital Schedule'!K24</f>
        <v/>
      </c>
      <c r="T39">
        <f>-'Working Capital Schedule'!L24</f>
        <v/>
      </c>
    </row>
    <row r="40">
      <c r="P40" t="inlineStr">
        <is>
          <t>Cfo</t>
        </is>
      </c>
      <c r="Q40">
        <f>SUM(Q37:Q39)</f>
        <v/>
      </c>
      <c r="R40">
        <f>SUM(R37:R39)</f>
        <v/>
      </c>
      <c r="S40">
        <f>SUM(S37:S39)</f>
        <v/>
      </c>
      <c r="T40">
        <f>SUM(T37:T39)</f>
        <v/>
      </c>
    </row>
    <row r="41">
      <c r="B41" t="inlineStr">
        <is>
          <t>Cash from Operating Activity</t>
        </is>
      </c>
      <c r="C41" s="211" t="n">
        <v>646.8</v>
      </c>
      <c r="D41" s="211" t="n">
        <v>925.1</v>
      </c>
      <c r="E41" s="211" t="n">
        <v>948.3</v>
      </c>
      <c r="F41" s="211" t="n">
        <v>783.2</v>
      </c>
      <c r="G41" s="211" t="n">
        <v>1817.7</v>
      </c>
      <c r="H41" s="212" t="n">
        <v>977.4</v>
      </c>
      <c r="I41" s="212" t="n">
        <v>615</v>
      </c>
      <c r="J41" s="212" t="n">
        <v>1118</v>
      </c>
      <c r="K41" s="212" t="n">
        <v>1947</v>
      </c>
      <c r="L41" s="212" t="n">
        <v>1459</v>
      </c>
    </row>
    <row r="42">
      <c r="B42" t="inlineStr">
        <is>
          <t>Cash from Investing Activity</t>
        </is>
      </c>
      <c r="C42" s="211" t="n">
        <v>-227.4</v>
      </c>
      <c r="D42" s="211" t="n">
        <v>104.4</v>
      </c>
      <c r="E42" s="211" t="n">
        <v>-65.5</v>
      </c>
      <c r="F42" s="211" t="n">
        <v>-193.6</v>
      </c>
      <c r="G42" s="211" t="n">
        <v>-99.2</v>
      </c>
      <c r="H42" s="212" t="n">
        <v>-312.7</v>
      </c>
      <c r="I42" s="211" t="n">
        <v>-55</v>
      </c>
      <c r="J42" s="211" t="n">
        <v>226</v>
      </c>
      <c r="K42" s="211" t="n">
        <v>-1114</v>
      </c>
      <c r="L42" s="211" t="n">
        <v>-428</v>
      </c>
    </row>
    <row r="43">
      <c r="B43" t="inlineStr">
        <is>
          <t>Cash from Financing Activity</t>
        </is>
      </c>
      <c r="C43" s="211" t="n">
        <v>-474.9</v>
      </c>
      <c r="D43" s="211" t="n">
        <v>-966.1</v>
      </c>
      <c r="E43" s="211" t="n">
        <v>-808.3</v>
      </c>
      <c r="F43" s="211" t="n">
        <v>-739.9</v>
      </c>
      <c r="G43" s="211" t="n">
        <v>-1706.8</v>
      </c>
      <c r="H43" s="212" t="n">
        <v>-688</v>
      </c>
      <c r="I43" s="211" t="n">
        <v>-500</v>
      </c>
      <c r="J43" s="211" t="n">
        <v>-407</v>
      </c>
      <c r="K43" s="211" t="n">
        <v>-557</v>
      </c>
      <c r="L43" s="211" t="n">
        <v>-1450</v>
      </c>
    </row>
    <row r="44">
      <c r="B44" t="inlineStr">
        <is>
          <t>Net Cash Flow</t>
        </is>
      </c>
      <c r="C44" s="211" t="n">
        <v>-55.5</v>
      </c>
      <c r="D44" s="211" t="n">
        <v>63.4</v>
      </c>
      <c r="E44" s="211" t="n">
        <v>74.5</v>
      </c>
      <c r="F44" s="211" t="n">
        <v>-150.3</v>
      </c>
      <c r="G44" s="211" t="n">
        <v>11.7</v>
      </c>
      <c r="H44" s="211" t="n">
        <v>-23.3</v>
      </c>
      <c r="I44" s="211" t="n">
        <v>60</v>
      </c>
      <c r="J44" s="211" t="n">
        <v>937</v>
      </c>
      <c r="K44" s="211" t="n">
        <v>276</v>
      </c>
      <c r="L44" s="211" t="n">
        <v>-419</v>
      </c>
    </row>
    <row r="46">
      <c r="C46" s="41" t="n">
        <v>-50.70000000000002</v>
      </c>
      <c r="D46" s="41" t="n">
        <v>168.8000000000009</v>
      </c>
      <c r="E46" s="41" t="n">
        <v>26.79999999999959</v>
      </c>
      <c r="F46" s="41" t="n">
        <v>-209.4000000000005</v>
      </c>
      <c r="G46" s="41" t="n">
        <v>10.399999999999</v>
      </c>
      <c r="H46" s="41" t="n">
        <v>198.5000000000018</v>
      </c>
      <c r="I46" s="41" t="n">
        <v>856.6999999999989</v>
      </c>
      <c r="J46" s="41" t="n">
        <v>728.9000000000004</v>
      </c>
      <c r="K46" s="41" t="n">
        <v>1035</v>
      </c>
      <c r="L46" s="41" t="n">
        <v>231</v>
      </c>
    </row>
    <row r="47">
      <c r="C47" s="41">
        <f>C46-C44</f>
        <v/>
      </c>
      <c r="D47" s="41">
        <f>D46-D44</f>
        <v/>
      </c>
      <c r="E47" s="41">
        <f>E46-E44</f>
        <v/>
      </c>
      <c r="F47" s="41">
        <f>F46-F44</f>
        <v/>
      </c>
      <c r="G47" s="41">
        <f>G46-G44</f>
        <v/>
      </c>
      <c r="H47" s="41">
        <f>H46-H44</f>
        <v/>
      </c>
      <c r="I47" s="41">
        <f>I46-I44</f>
        <v/>
      </c>
      <c r="J47" s="41">
        <f>J46-J44</f>
        <v/>
      </c>
      <c r="K47" s="41">
        <f>K46-K44</f>
        <v/>
      </c>
      <c r="L47" s="41">
        <f>L46-L44</f>
        <v/>
      </c>
    </row>
    <row r="49">
      <c r="C49" s="41" t="n">
        <v>-91.09999999999999</v>
      </c>
      <c r="D49" s="41" t="n">
        <v>-713.3</v>
      </c>
      <c r="E49" s="41" t="n">
        <v>-579</v>
      </c>
      <c r="F49" s="41" t="n">
        <v>-494.3</v>
      </c>
      <c r="G49" s="41" t="n">
        <v>-1484.1</v>
      </c>
      <c r="H49" s="41" t="n">
        <v>-537.7</v>
      </c>
      <c r="I49" s="41" t="n">
        <v>-340.6</v>
      </c>
      <c r="J49" s="41" t="n">
        <v>24</v>
      </c>
      <c r="K49" s="41" t="n">
        <v>-25</v>
      </c>
      <c r="L49" s="41" t="n">
        <v>-6</v>
      </c>
    </row>
    <row r="50">
      <c r="C50" s="41">
        <f>C29+C30</f>
        <v/>
      </c>
      <c r="D50" s="41">
        <f>D29+D30</f>
        <v/>
      </c>
      <c r="E50" s="41">
        <f>E29+E30</f>
        <v/>
      </c>
      <c r="F50" s="41">
        <f>F29+F30</f>
        <v/>
      </c>
      <c r="G50" s="41">
        <f>G29+G30</f>
        <v/>
      </c>
      <c r="H50" s="41">
        <f>H29+H30</f>
        <v/>
      </c>
      <c r="I50" s="41">
        <f>I29+I30</f>
        <v/>
      </c>
      <c r="J50" s="41">
        <f>J29+J30</f>
        <v/>
      </c>
      <c r="K50" s="41">
        <f>K29+K30</f>
        <v/>
      </c>
      <c r="L50" s="41">
        <f>L29+L30</f>
        <v/>
      </c>
    </row>
    <row r="54">
      <c r="C54" s="41">
        <f>SUM(C17:C19)</f>
        <v/>
      </c>
      <c r="D54" s="41">
        <f>SUM(D17:D19)</f>
        <v/>
      </c>
      <c r="E54" s="41">
        <f>SUM(E17:E19)</f>
        <v/>
      </c>
      <c r="F54" s="41">
        <f>SUM(F17:F19)</f>
        <v/>
      </c>
      <c r="G54" s="41">
        <f>SUM(G17:G19)</f>
        <v/>
      </c>
      <c r="H54" s="41">
        <f>SUM(H17:H19)</f>
        <v/>
      </c>
      <c r="I54" s="41">
        <f>SUM(I17:I19)</f>
        <v/>
      </c>
      <c r="J54" s="41">
        <f>SUM(J17:J19)</f>
        <v/>
      </c>
      <c r="K54" s="41">
        <f>SUM(K17:K19)</f>
        <v/>
      </c>
      <c r="L54" s="41">
        <f>SUM(L17:L19)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3"/>
  <sheetViews>
    <sheetView showGridLines="0" zoomScaleNormal="99" workbookViewId="0">
      <pane xSplit="2" ySplit="3" topLeftCell="C34" activePane="bottomRight" state="frozen"/>
      <selection pane="topRight" activeCell="C1" sqref="C1"/>
      <selection pane="bottomLeft" activeCell="A4" sqref="A4"/>
      <selection pane="bottomRight" activeCell="C37" sqref="C37"/>
    </sheetView>
  </sheetViews>
  <sheetFormatPr baseColWidth="8" defaultRowHeight="15.6"/>
  <cols>
    <col width="3.21875" customWidth="1" min="1" max="1"/>
    <col width="51.77734375" customWidth="1" style="3" min="2" max="2"/>
    <col width="9.77734375" customWidth="1" style="11" min="3" max="12"/>
    <col width="9.77734375" customWidth="1" style="12" min="13" max="16"/>
  </cols>
  <sheetData>
    <row r="1">
      <c r="R1" s="6" t="n"/>
      <c r="S1" s="6" t="n"/>
      <c r="T1" s="6" t="n"/>
      <c r="U1" s="6" t="n"/>
      <c r="V1" s="6" t="n"/>
    </row>
    <row r="2">
      <c r="C2" s="4" t="n">
        <v>2017</v>
      </c>
      <c r="D2" s="4">
        <f>C2+1</f>
        <v/>
      </c>
      <c r="E2" s="4">
        <f>D2+1</f>
        <v/>
      </c>
      <c r="F2" s="4">
        <f>E2+1</f>
        <v/>
      </c>
      <c r="G2" s="4">
        <f>F2+1</f>
        <v/>
      </c>
      <c r="H2" s="4">
        <f>G2+1</f>
        <v/>
      </c>
      <c r="I2" s="4">
        <f>H2+1</f>
        <v/>
      </c>
      <c r="J2" s="4">
        <f>I2+1</f>
        <v/>
      </c>
      <c r="K2" s="4">
        <f>J2+1</f>
        <v/>
      </c>
      <c r="L2" s="4">
        <f>K2+1</f>
        <v/>
      </c>
      <c r="M2" s="35" t="n"/>
      <c r="N2" s="35" t="n"/>
      <c r="O2" s="35" t="n"/>
      <c r="P2" s="35" t="n"/>
      <c r="W2" s="6" t="n"/>
      <c r="X2" s="6" t="n"/>
    </row>
    <row r="3" ht="1.95" customHeight="1">
      <c r="B3" s="5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4" t="n"/>
      <c r="N3" s="36" t="n"/>
      <c r="O3" s="36" t="n"/>
      <c r="P3" s="36" t="n"/>
      <c r="R3" t="inlineStr">
        <is>
          <t>12 mths</t>
        </is>
      </c>
      <c r="S3" t="inlineStr">
        <is>
          <t>12 mths</t>
        </is>
      </c>
      <c r="T3" t="inlineStr">
        <is>
          <t>12 mths</t>
        </is>
      </c>
      <c r="U3" t="inlineStr">
        <is>
          <t>12 mths</t>
        </is>
      </c>
      <c r="V3" t="inlineStr">
        <is>
          <t>12 mths</t>
        </is>
      </c>
    </row>
    <row r="4" ht="14.4" customHeight="1">
      <c r="A4" t="inlineStr">
        <is>
          <t>X</t>
        </is>
      </c>
      <c r="B4" s="7" t="inlineStr">
        <is>
          <t>EQUITIES AND LIABILITIES</t>
        </is>
      </c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5" t="n"/>
      <c r="N4" s="15" t="n"/>
      <c r="O4" s="15" t="n"/>
      <c r="P4" s="15" t="n"/>
      <c r="R4" s="1" t="n"/>
      <c r="S4" s="1" t="n"/>
      <c r="T4" s="1" t="n"/>
    </row>
    <row r="5" ht="14.4" customHeight="1">
      <c r="B5" s="7" t="inlineStr">
        <is>
          <t>SHAREHOLDER'S FUNDS</t>
        </is>
      </c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5" t="n"/>
      <c r="N5" s="15" t="n"/>
      <c r="O5" s="15" t="n"/>
      <c r="P5" s="15" t="n"/>
    </row>
    <row r="6" ht="15.6" customFormat="1" customHeight="1" s="24">
      <c r="B6" s="8" t="inlineStr">
        <is>
          <t>Equity Share Capital</t>
        </is>
      </c>
      <c r="C6" s="22" t="n">
        <v>145.3</v>
      </c>
      <c r="D6" s="22" t="n">
        <v>145.3</v>
      </c>
      <c r="E6" s="22" t="n">
        <v>145.3</v>
      </c>
      <c r="F6" s="22" t="n">
        <v>145.3</v>
      </c>
      <c r="G6" s="22" t="n">
        <v>145.3</v>
      </c>
      <c r="H6" s="22" t="n">
        <v>145.3</v>
      </c>
      <c r="I6" s="22" t="n">
        <v>145.5</v>
      </c>
      <c r="J6" s="22" t="n">
        <v>145</v>
      </c>
      <c r="K6" s="22" t="n">
        <v>145</v>
      </c>
      <c r="L6" s="22" t="n">
        <v>145</v>
      </c>
      <c r="M6" s="23" t="n"/>
      <c r="N6" s="23" t="n"/>
      <c r="O6" s="23" t="n"/>
      <c r="P6" s="23" t="n"/>
    </row>
    <row r="7" ht="14.4" customFormat="1" customHeight="1" s="24">
      <c r="B7" s="8" t="inlineStr">
        <is>
          <t>Reserves and Surplus</t>
        </is>
      </c>
      <c r="C7" s="22" t="n">
        <v>1640.3</v>
      </c>
      <c r="D7" s="22" t="n">
        <v>2273.8</v>
      </c>
      <c r="E7" s="22" t="n">
        <v>2945</v>
      </c>
      <c r="F7" s="22" t="n">
        <v>3582.7</v>
      </c>
      <c r="G7" s="22" t="n">
        <v>3974.5</v>
      </c>
      <c r="H7" s="22" t="n">
        <v>4808.4</v>
      </c>
      <c r="I7" s="22" t="n">
        <v>5854</v>
      </c>
      <c r="J7" s="22" t="n">
        <v>6976</v>
      </c>
      <c r="K7" s="22" t="n">
        <v>7959</v>
      </c>
      <c r="L7" s="22" t="n">
        <v>8808</v>
      </c>
      <c r="M7" s="23" t="n"/>
      <c r="N7" s="23" t="n"/>
      <c r="O7" s="23" t="n"/>
      <c r="P7" s="23" t="n"/>
    </row>
    <row r="8" ht="14.4" customHeight="1">
      <c r="B8" s="9" t="inlineStr">
        <is>
          <t>Total Shareholders Funds</t>
        </is>
      </c>
      <c r="C8" s="19">
        <f>C6+C7</f>
        <v/>
      </c>
      <c r="D8" s="19">
        <f>D6+D7</f>
        <v/>
      </c>
      <c r="E8" s="19">
        <f>E6+E7</f>
        <v/>
      </c>
      <c r="F8" s="19">
        <f>F6+F7</f>
        <v/>
      </c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  <c r="L8" s="19">
        <f>L6+L7</f>
        <v/>
      </c>
      <c r="M8" s="15" t="n"/>
      <c r="N8" s="15" t="n"/>
      <c r="O8" s="15" t="n"/>
      <c r="P8" s="15" t="n"/>
    </row>
    <row r="9" ht="14.4" customFormat="1" customHeight="1" s="24">
      <c r="B9" s="8" t="inlineStr">
        <is>
          <t>Minority Interest</t>
        </is>
      </c>
      <c r="C9" s="22" t="n">
        <v>-2.5</v>
      </c>
      <c r="D9" s="22" t="n">
        <v>13.6</v>
      </c>
      <c r="E9" s="22" t="n">
        <v>-3.1</v>
      </c>
      <c r="F9" s="22" t="n">
        <v>-41.3</v>
      </c>
      <c r="G9" s="22" t="n">
        <v>-60.9</v>
      </c>
      <c r="H9" s="22" t="n">
        <v>-78.90000000000001</v>
      </c>
      <c r="I9" s="22" t="n">
        <v>0</v>
      </c>
      <c r="J9" s="22" t="n">
        <v>0</v>
      </c>
      <c r="K9" s="22" t="n">
        <v>0</v>
      </c>
      <c r="L9" s="22" t="n">
        <v>4</v>
      </c>
      <c r="M9" s="23" t="n"/>
      <c r="N9" s="23" t="n"/>
      <c r="O9" s="23" t="n"/>
      <c r="P9" s="23" t="n"/>
    </row>
    <row r="10" ht="14.4" customHeight="1">
      <c r="A10" t="inlineStr">
        <is>
          <t>x</t>
        </is>
      </c>
      <c r="B10" s="7" t="inlineStr">
        <is>
          <t>NON-CURRENT LIABILITIES</t>
        </is>
      </c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5" t="n"/>
      <c r="N10" s="15" t="n"/>
      <c r="O10" s="15" t="n"/>
      <c r="P10" s="15" t="n"/>
    </row>
    <row r="11" ht="14.4" customFormat="1" customHeight="1" s="24">
      <c r="B11" s="10" t="inlineStr">
        <is>
          <t>Long Term Borrowings</t>
        </is>
      </c>
      <c r="C11" s="22" t="n">
        <v>869.7</v>
      </c>
      <c r="D11" s="22" t="n">
        <v>762.8</v>
      </c>
      <c r="E11" s="22" t="n">
        <v>780.4</v>
      </c>
      <c r="F11" s="22" t="n">
        <v>14.7</v>
      </c>
      <c r="G11" s="22" t="n">
        <v>2.2</v>
      </c>
      <c r="H11" s="22" t="n">
        <v>0.9</v>
      </c>
      <c r="I11" s="22" t="n">
        <v>0.3</v>
      </c>
      <c r="J11" s="22" t="n">
        <v>0</v>
      </c>
      <c r="K11" s="22" t="n">
        <v>0</v>
      </c>
      <c r="L11" s="22" t="n">
        <v>0</v>
      </c>
    </row>
    <row r="12" ht="15.6" customFormat="1" customHeight="1" s="24">
      <c r="B12" s="10" t="inlineStr">
        <is>
          <t>Deferred Tax Liabilities [Net]</t>
        </is>
      </c>
      <c r="C12" s="22" t="n">
        <v>0</v>
      </c>
      <c r="D12" s="22" t="n">
        <v>0</v>
      </c>
      <c r="E12" s="22" t="n">
        <v>0</v>
      </c>
      <c r="F12" s="22" t="n">
        <v>7.6</v>
      </c>
      <c r="G12" s="22" t="n">
        <v>26.1</v>
      </c>
      <c r="H12" s="22" t="n">
        <v>48.3</v>
      </c>
      <c r="I12" s="22" t="n">
        <v>45.1</v>
      </c>
      <c r="J12" s="22" t="n">
        <v>73</v>
      </c>
      <c r="K12" s="22" t="n">
        <v>72</v>
      </c>
      <c r="L12" s="22" t="n">
        <v>18</v>
      </c>
    </row>
    <row r="13" ht="15.6" customFormat="1" customHeight="1" s="24">
      <c r="B13" s="10" t="inlineStr">
        <is>
          <t>Lease liabilities</t>
        </is>
      </c>
      <c r="C13" s="207" t="n"/>
      <c r="D13" s="207" t="n"/>
      <c r="E13" s="207" t="n"/>
      <c r="F13" s="207" t="n"/>
      <c r="G13" s="207" t="n"/>
      <c r="H13" s="207" t="n"/>
      <c r="I13" s="207" t="n"/>
      <c r="J13" s="207" t="n"/>
      <c r="K13" s="207" t="n"/>
      <c r="L13" s="207" t="n"/>
    </row>
    <row r="14" ht="14.4" customFormat="1" customHeight="1" s="24">
      <c r="B14" s="8" t="inlineStr">
        <is>
          <t>Other Long Term Liabilities</t>
        </is>
      </c>
      <c r="C14" s="22" t="n">
        <v>0</v>
      </c>
      <c r="D14" s="22" t="n">
        <v>0</v>
      </c>
      <c r="E14" s="22" t="n">
        <v>0</v>
      </c>
      <c r="F14" s="22" t="n">
        <v>140.3</v>
      </c>
      <c r="G14" s="22" t="n">
        <v>102.5</v>
      </c>
      <c r="H14" s="22" t="n">
        <v>134.1</v>
      </c>
      <c r="I14" s="22" t="n">
        <v>80</v>
      </c>
      <c r="J14" s="22" t="n">
        <v>137</v>
      </c>
      <c r="K14" s="22" t="n">
        <v>334</v>
      </c>
      <c r="L14" s="22" t="n">
        <v>308</v>
      </c>
    </row>
    <row r="15" ht="14.4" customFormat="1" customHeight="1" s="24">
      <c r="B15" s="8" t="inlineStr">
        <is>
          <t>Long Term Provisions</t>
        </is>
      </c>
      <c r="C15" s="22" t="n">
        <v>44.2</v>
      </c>
      <c r="D15" s="22" t="n">
        <v>52.6</v>
      </c>
      <c r="E15" s="22" t="n">
        <v>53.5</v>
      </c>
      <c r="F15" s="22" t="n">
        <v>8.199999999999999</v>
      </c>
      <c r="G15" s="22" t="n">
        <v>9.6</v>
      </c>
      <c r="H15" s="22" t="n">
        <v>14.9</v>
      </c>
      <c r="I15" s="22" t="n">
        <v>12.3</v>
      </c>
      <c r="J15" s="22" t="n">
        <v>15</v>
      </c>
      <c r="K15" s="22" t="n">
        <v>16</v>
      </c>
      <c r="L15" s="22" t="n">
        <v>41</v>
      </c>
    </row>
    <row r="16" ht="14.4" customHeight="1">
      <c r="B16" s="9" t="inlineStr">
        <is>
          <t>Total Non-Current Liabilities</t>
        </is>
      </c>
      <c r="C16" s="19">
        <f>SUM(C11:C15)</f>
        <v/>
      </c>
      <c r="D16" s="19">
        <f>SUM(D11:D15)</f>
        <v/>
      </c>
      <c r="E16" s="19">
        <f>SUM(E11:E15)</f>
        <v/>
      </c>
      <c r="F16" s="19">
        <f>SUM(F11:F15)</f>
        <v/>
      </c>
      <c r="G16" s="19">
        <f>SUM(G11:G15)</f>
        <v/>
      </c>
      <c r="H16" s="19">
        <f>SUM(H11:H15)</f>
        <v/>
      </c>
      <c r="I16" s="19">
        <f>SUM(I11:I15)</f>
        <v/>
      </c>
      <c r="J16" s="19">
        <f>SUM(J11:J15)</f>
        <v/>
      </c>
      <c r="K16" s="19">
        <f>SUM(K11:K15)</f>
        <v/>
      </c>
      <c r="L16" s="19">
        <f>SUM(L11:L15)</f>
        <v/>
      </c>
    </row>
    <row r="17" ht="14.4" customHeight="1">
      <c r="A17" t="inlineStr">
        <is>
          <t>x</t>
        </is>
      </c>
      <c r="B17" s="7" t="inlineStr">
        <is>
          <t>CURRENT LIABILITIES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 ht="14.4" customFormat="1" customHeight="1" s="24">
      <c r="B18" s="8" t="inlineStr">
        <is>
          <t>Short Term Borrowings</t>
        </is>
      </c>
      <c r="C18" s="22" t="n">
        <v>2906.9</v>
      </c>
      <c r="D18" s="22" t="n">
        <v>2301.3</v>
      </c>
      <c r="E18" s="22" t="n">
        <v>2089.4</v>
      </c>
      <c r="F18" s="22" t="n">
        <v>1606</v>
      </c>
      <c r="G18" s="22" t="n">
        <v>874.5</v>
      </c>
      <c r="H18" s="22" t="n">
        <v>340.8</v>
      </c>
      <c r="I18" s="22" t="n">
        <v>0.8</v>
      </c>
      <c r="J18" s="22" t="n">
        <v>25</v>
      </c>
      <c r="K18" s="22" t="n">
        <v>0</v>
      </c>
      <c r="L18" s="22" t="n">
        <v>6</v>
      </c>
    </row>
    <row r="19" ht="15.6" customFormat="1" customHeight="1" s="24">
      <c r="B19" s="8" t="inlineStr">
        <is>
          <t>Trade Payables</t>
        </is>
      </c>
      <c r="C19" s="22" t="n">
        <v>1224.7</v>
      </c>
      <c r="D19" s="22" t="n">
        <v>1455.1</v>
      </c>
      <c r="E19" s="22" t="n">
        <v>1408.3</v>
      </c>
      <c r="F19" s="22" t="n">
        <v>1199.4</v>
      </c>
      <c r="G19" s="22" t="n">
        <v>1417.2</v>
      </c>
      <c r="H19" s="22" t="n">
        <v>1582.1</v>
      </c>
      <c r="I19" s="22" t="n">
        <v>1782.5</v>
      </c>
      <c r="J19" s="22" t="n">
        <v>1954</v>
      </c>
      <c r="K19" s="22" t="n">
        <v>2239</v>
      </c>
      <c r="L19" s="22" t="n">
        <v>2383</v>
      </c>
    </row>
    <row r="20" ht="14.4" customFormat="1" customHeight="1" s="24">
      <c r="B20" s="8" t="inlineStr">
        <is>
          <t>Other Current Liabilities</t>
        </is>
      </c>
      <c r="C20" s="22" t="n">
        <v>1792.1</v>
      </c>
      <c r="D20" s="22" t="n">
        <v>1642.5</v>
      </c>
      <c r="E20" s="22" t="n">
        <v>1344.4</v>
      </c>
      <c r="F20" s="22" t="n">
        <v>1734.5</v>
      </c>
      <c r="G20" s="22" t="n">
        <v>1472.2</v>
      </c>
      <c r="H20" s="22" t="n">
        <v>1427.4</v>
      </c>
      <c r="I20" s="22" t="n">
        <v>1467.9</v>
      </c>
      <c r="J20" s="22" t="n">
        <v>1556</v>
      </c>
      <c r="K20" s="22" t="n">
        <v>2108</v>
      </c>
      <c r="L20" s="22" t="n">
        <v>2256</v>
      </c>
      <c r="M20" s="23" t="n"/>
      <c r="N20" s="23" t="n"/>
      <c r="O20" s="23" t="n"/>
      <c r="P20" s="23" t="n"/>
    </row>
    <row r="21" ht="14.4" customFormat="1" customHeight="1" s="24">
      <c r="B21" s="8" t="inlineStr">
        <is>
          <t>Short Term Provisions</t>
        </is>
      </c>
      <c r="C21" s="22" t="n">
        <v>275.2</v>
      </c>
      <c r="D21" s="22" t="n">
        <v>309.3</v>
      </c>
      <c r="E21" s="22" t="n">
        <v>345.7</v>
      </c>
      <c r="F21" s="22" t="n">
        <v>453.9</v>
      </c>
      <c r="G21" s="22" t="n">
        <v>573.8</v>
      </c>
      <c r="H21" s="22" t="n">
        <v>488</v>
      </c>
      <c r="I21" s="22" t="n">
        <v>373.1</v>
      </c>
      <c r="J21" s="22" t="n">
        <v>368</v>
      </c>
      <c r="K21" s="22" t="n">
        <v>375</v>
      </c>
      <c r="L21" s="22" t="n">
        <v>500</v>
      </c>
      <c r="M21" s="23" t="n"/>
      <c r="N21" s="23" t="n"/>
      <c r="O21" s="23" t="n"/>
      <c r="P21" s="23" t="n"/>
    </row>
    <row r="22" ht="14.4" customHeight="1">
      <c r="B22" s="9" t="inlineStr">
        <is>
          <t>Total Current Liabilities</t>
        </is>
      </c>
      <c r="C22" s="19">
        <f>SUM(C18:C21)</f>
        <v/>
      </c>
      <c r="D22" s="19">
        <f>SUM(D18:D21)</f>
        <v/>
      </c>
      <c r="E22" s="19">
        <f>SUM(E18:E21)</f>
        <v/>
      </c>
      <c r="F22" s="19">
        <f>SUM(F18:F21)</f>
        <v/>
      </c>
      <c r="G22" s="19">
        <f>SUM(G18:G21)</f>
        <v/>
      </c>
      <c r="H22" s="19">
        <f>SUM(H18:H21)</f>
        <v/>
      </c>
      <c r="I22" s="19">
        <f>SUM(I18:I21)</f>
        <v/>
      </c>
      <c r="J22" s="19">
        <f>SUM(J18:J21)</f>
        <v/>
      </c>
      <c r="K22" s="19">
        <f>SUM(K18:K21)</f>
        <v/>
      </c>
      <c r="L22" s="19">
        <f>SUM(L18:L21)</f>
        <v/>
      </c>
      <c r="M22" s="15" t="n"/>
      <c r="N22" s="15" t="n"/>
      <c r="O22" s="15" t="n"/>
      <c r="P22" s="15" t="n"/>
    </row>
    <row r="23" ht="14.4" customHeight="1">
      <c r="B23" s="2" t="inlineStr">
        <is>
          <t>Total Capital And Liabilities</t>
        </is>
      </c>
      <c r="C23" s="19">
        <f>C8+C9+C16+C22</f>
        <v/>
      </c>
      <c r="D23" s="19">
        <f>D8+D9+D16+D22</f>
        <v/>
      </c>
      <c r="E23" s="19">
        <f>E8+E9+E16+E22</f>
        <v/>
      </c>
      <c r="F23" s="19">
        <f>F8+F9+F16+F22</f>
        <v/>
      </c>
      <c r="G23" s="19">
        <f>G8+G9+G16+G22</f>
        <v/>
      </c>
      <c r="H23" s="19">
        <f>H8+H9+H16+H22</f>
        <v/>
      </c>
      <c r="I23" s="19">
        <f>I8+I9+I16+I22</f>
        <v/>
      </c>
      <c r="J23" s="19">
        <f>J8+J9+J16+J22</f>
        <v/>
      </c>
      <c r="K23" s="19">
        <f>K8+K9+K16+K22</f>
        <v/>
      </c>
      <c r="L23" s="19">
        <f>L8+L9+L16+L22</f>
        <v/>
      </c>
      <c r="M23" s="15" t="n"/>
      <c r="N23" s="15" t="n"/>
      <c r="O23" s="15" t="n"/>
      <c r="P23" s="15" t="n"/>
    </row>
    <row r="24" ht="1.95" customHeight="1">
      <c r="B24" s="16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17" t="n"/>
      <c r="N24" s="15" t="n"/>
      <c r="O24" s="15" t="n"/>
      <c r="P24" s="15" t="n"/>
    </row>
    <row r="25" ht="14.4" customHeight="1">
      <c r="A25" t="inlineStr">
        <is>
          <t>x</t>
        </is>
      </c>
      <c r="B25" s="7" t="inlineStr">
        <is>
          <t>ASSETS</t>
        </is>
      </c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5" t="n"/>
      <c r="N25" s="15" t="n"/>
      <c r="O25" s="15" t="n"/>
      <c r="P25" s="15" t="n"/>
    </row>
    <row r="26" ht="14.4" customHeight="1">
      <c r="B26" s="7" t="inlineStr">
        <is>
          <t>NON-CURRENT ASSETS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5" t="n"/>
      <c r="N26" s="15" t="n"/>
      <c r="O26" s="15" t="n"/>
      <c r="P26" s="15" t="n"/>
    </row>
    <row r="27" ht="14.4" customFormat="1" customHeight="1" s="24">
      <c r="B27" s="8" t="inlineStr">
        <is>
          <t>Tangible Assets</t>
        </is>
      </c>
      <c r="C27" s="22" t="n">
        <v>1455.4</v>
      </c>
      <c r="D27" s="22" t="n">
        <v>1371.4</v>
      </c>
      <c r="E27" s="22" t="n">
        <v>1418.2</v>
      </c>
      <c r="F27" s="22" t="n">
        <v>1551.3</v>
      </c>
      <c r="G27" s="22" t="n">
        <v>1496.6</v>
      </c>
      <c r="H27" s="22" t="n">
        <v>1475.8</v>
      </c>
      <c r="I27" s="22" t="n">
        <v>1176.2</v>
      </c>
      <c r="J27" s="22" t="n">
        <v>1210</v>
      </c>
      <c r="K27" s="22" t="n">
        <v>1382</v>
      </c>
      <c r="L27" s="22" t="n">
        <v>1273</v>
      </c>
      <c r="M27" s="23" t="n"/>
      <c r="N27" s="23" t="n"/>
      <c r="O27" s="23" t="n"/>
      <c r="P27" s="23" t="n"/>
    </row>
    <row r="28" ht="15.6" customFormat="1" customHeight="1" s="24">
      <c r="B28" s="8" t="inlineStr">
        <is>
          <t>Intangible Assets</t>
        </is>
      </c>
      <c r="C28" s="22" t="n">
        <v>393.2</v>
      </c>
      <c r="D28" s="22" t="n">
        <v>383.8</v>
      </c>
      <c r="E28" s="22" t="n">
        <v>373.7</v>
      </c>
      <c r="F28" s="22" t="n">
        <v>383.6</v>
      </c>
      <c r="G28" s="22" t="n">
        <v>375.5</v>
      </c>
      <c r="H28" s="22" t="n">
        <v>358</v>
      </c>
      <c r="I28" s="22" t="n">
        <v>356.7</v>
      </c>
      <c r="J28" s="22" t="n">
        <v>349</v>
      </c>
      <c r="K28" s="22" t="n">
        <v>329</v>
      </c>
      <c r="L28" s="22" t="n">
        <v>76</v>
      </c>
      <c r="M28" s="23" t="n"/>
      <c r="N28" s="23" t="n"/>
      <c r="O28" s="23" t="n"/>
      <c r="P28" s="23" t="n"/>
    </row>
    <row r="29" ht="14.4" customFormat="1" customHeight="1" s="24">
      <c r="B29" s="8" t="inlineStr">
        <is>
          <t>Capital Work-In-Progress</t>
        </is>
      </c>
      <c r="C29" s="22" t="n">
        <v>199.3</v>
      </c>
      <c r="D29" s="22" t="n">
        <v>101.8</v>
      </c>
      <c r="E29" s="22" t="n">
        <v>101.9</v>
      </c>
      <c r="F29" s="22" t="n">
        <v>104.1</v>
      </c>
      <c r="G29" s="22" t="n">
        <v>88.3</v>
      </c>
      <c r="H29" s="22" t="n">
        <v>87.7</v>
      </c>
      <c r="I29" s="22" t="n">
        <v>66.8</v>
      </c>
      <c r="J29" s="22" t="n">
        <v>37</v>
      </c>
      <c r="K29" s="22" t="n">
        <v>72</v>
      </c>
      <c r="L29" s="22" t="n">
        <v>77</v>
      </c>
      <c r="M29" s="23" t="n"/>
      <c r="N29" s="23" t="n"/>
      <c r="O29" s="23" t="n"/>
      <c r="P29" s="23" t="n"/>
    </row>
    <row r="30" ht="14.4" customFormat="1" customHeight="1" s="24">
      <c r="B30" s="8" t="inlineStr">
        <is>
          <t>Intangible Assets Under Development</t>
        </is>
      </c>
      <c r="C30" s="22" t="n">
        <v>0</v>
      </c>
      <c r="D30" s="22" t="n">
        <v>0</v>
      </c>
      <c r="E30" s="22" t="n">
        <v>16.5</v>
      </c>
      <c r="F30" s="22" t="n">
        <v>17</v>
      </c>
      <c r="G30" s="22" t="n">
        <v>8.4</v>
      </c>
      <c r="H30" s="22" t="n">
        <v>8</v>
      </c>
      <c r="I30" s="22" t="n">
        <v>16</v>
      </c>
      <c r="J30" s="22" t="n">
        <v>0</v>
      </c>
      <c r="K30" s="22" t="n">
        <v>0</v>
      </c>
      <c r="L30" s="22" t="n">
        <v>0</v>
      </c>
      <c r="M30" s="23" t="n"/>
      <c r="N30" s="23" t="n"/>
      <c r="O30" s="23" t="n"/>
      <c r="P30" s="23" t="n"/>
    </row>
    <row r="31" ht="14.4" customHeight="1">
      <c r="A31" t="inlineStr">
        <is>
          <t>x</t>
        </is>
      </c>
      <c r="B31" s="9" t="inlineStr">
        <is>
          <t>Fixed Assets</t>
        </is>
      </c>
      <c r="C31" s="19">
        <f>SUM(C27:C30)</f>
        <v/>
      </c>
      <c r="D31" s="19">
        <f>SUM(D27:D30)</f>
        <v/>
      </c>
      <c r="E31" s="19">
        <f>SUM(E27:E30)</f>
        <v/>
      </c>
      <c r="F31" s="19">
        <f>SUM(F27:F30)</f>
        <v/>
      </c>
      <c r="G31" s="19">
        <f>SUM(G27:G30)</f>
        <v/>
      </c>
      <c r="H31" s="19">
        <f>SUM(H27:H30)</f>
        <v/>
      </c>
      <c r="I31" s="19">
        <f>SUM(I27:I30)</f>
        <v/>
      </c>
      <c r="J31" s="19">
        <f>SUM(J27:J30)</f>
        <v/>
      </c>
      <c r="K31" s="19">
        <f>SUM(K27:K30)</f>
        <v/>
      </c>
      <c r="L31" s="19">
        <f>SUM(L27:L30)</f>
        <v/>
      </c>
      <c r="M31" s="15" t="n"/>
      <c r="N31" s="15" t="n"/>
      <c r="O31" s="15" t="n"/>
      <c r="P31" s="15" t="n"/>
    </row>
    <row r="32" ht="14.4" customHeight="1">
      <c r="B32" s="8" t="inlineStr">
        <is>
          <t>Non-Current Investments</t>
        </is>
      </c>
      <c r="C32" s="22" t="n">
        <v>0</v>
      </c>
      <c r="D32" s="22" t="n">
        <v>0</v>
      </c>
      <c r="E32" s="22" t="n">
        <v>25.2</v>
      </c>
      <c r="F32" s="22" t="n">
        <v>21.9</v>
      </c>
      <c r="G32" s="22" t="n">
        <v>0</v>
      </c>
      <c r="H32" s="22" t="n">
        <v>0</v>
      </c>
      <c r="I32" s="22" t="n">
        <v>30.1</v>
      </c>
      <c r="J32" s="22" t="n">
        <v>46</v>
      </c>
      <c r="K32" s="22" t="n">
        <v>50</v>
      </c>
      <c r="L32" s="22" t="n">
        <v>14</v>
      </c>
    </row>
    <row r="33" ht="14.4" customHeight="1">
      <c r="B33" s="10" t="inlineStr">
        <is>
          <t>Deferred Tax Assets [Net]</t>
        </is>
      </c>
      <c r="C33" s="22" t="n">
        <v>178.1</v>
      </c>
      <c r="D33" s="22" t="n">
        <v>171.4</v>
      </c>
      <c r="E33" s="22" t="n">
        <v>290</v>
      </c>
      <c r="F33" s="22" t="n">
        <v>159</v>
      </c>
      <c r="G33" s="22" t="n">
        <v>171.1</v>
      </c>
      <c r="H33" s="22" t="n">
        <v>147.8</v>
      </c>
      <c r="I33" s="22" t="n">
        <v>157.3</v>
      </c>
      <c r="J33" s="22" t="n">
        <v>177</v>
      </c>
      <c r="K33" s="22" t="n">
        <v>155</v>
      </c>
      <c r="L33" s="22" t="n">
        <v>284</v>
      </c>
    </row>
    <row r="34" ht="14.4" customHeight="1">
      <c r="B34" s="8" t="inlineStr">
        <is>
          <t>Other Non-Current Assets</t>
        </is>
      </c>
      <c r="C34" s="22" t="n">
        <v>920.8</v>
      </c>
      <c r="D34" s="22" t="n">
        <v>1191.7</v>
      </c>
      <c r="E34" s="22" t="n">
        <v>1619.6</v>
      </c>
      <c r="F34" s="22" t="n">
        <v>1744.1</v>
      </c>
      <c r="G34" s="22" t="n">
        <v>1594.1</v>
      </c>
      <c r="H34" s="22" t="n">
        <v>1670.6</v>
      </c>
      <c r="I34" s="22" t="n">
        <v>1723.8</v>
      </c>
      <c r="J34" s="22" t="n">
        <v>2053</v>
      </c>
      <c r="K34" s="22" t="n">
        <v>2058</v>
      </c>
      <c r="L34" s="22" t="n">
        <v>2182</v>
      </c>
    </row>
    <row r="35" ht="14.4" customHeight="1">
      <c r="B35" s="9" t="inlineStr">
        <is>
          <t>Total Non-Current Assets</t>
        </is>
      </c>
      <c r="C35" s="19">
        <f>SUM(C31:C34)</f>
        <v/>
      </c>
      <c r="D35" s="19">
        <f>SUM(D31:D34)</f>
        <v/>
      </c>
      <c r="E35" s="19">
        <f>SUM(E31:E34)</f>
        <v/>
      </c>
      <c r="F35" s="19">
        <f>SUM(F31:F34)</f>
        <v/>
      </c>
      <c r="G35" s="19">
        <f>SUM(G31:G34)</f>
        <v/>
      </c>
      <c r="H35" s="19">
        <f>SUM(H31:H34)</f>
        <v/>
      </c>
      <c r="I35" s="19">
        <f>SUM(I31:I34)</f>
        <v/>
      </c>
      <c r="J35" s="19">
        <f>SUM(J31:J34)</f>
        <v/>
      </c>
      <c r="K35" s="19">
        <f>SUM(K31:K34)</f>
        <v/>
      </c>
      <c r="L35" s="19">
        <f>SUM(L31:L34)</f>
        <v/>
      </c>
    </row>
    <row r="36">
      <c r="A36" t="inlineStr">
        <is>
          <t>X</t>
        </is>
      </c>
      <c r="B36" s="7" t="inlineStr">
        <is>
          <t>CURRENT ASSETS</t>
        </is>
      </c>
      <c r="C36" s="21" t="n"/>
      <c r="D36" s="21" t="n"/>
      <c r="E36" s="21" t="n"/>
      <c r="F36" s="21" t="n"/>
      <c r="G36" s="21" t="n"/>
      <c r="H36" s="18" t="n"/>
      <c r="I36" s="18" t="n"/>
      <c r="J36" s="18" t="n"/>
      <c r="K36" s="18" t="n"/>
      <c r="L36" s="18" t="n"/>
      <c r="M36" s="15" t="n"/>
      <c r="N36" s="15" t="n"/>
      <c r="O36" s="15" t="n"/>
      <c r="P36" s="15" t="n"/>
    </row>
    <row r="37" ht="14.4" customFormat="1" customHeight="1" s="24">
      <c r="B37" s="8" t="inlineStr">
        <is>
          <t>Current Investments</t>
        </is>
      </c>
      <c r="C37" s="22" t="n">
        <v>0.1</v>
      </c>
      <c r="D37" s="22" t="n">
        <v>0.1</v>
      </c>
      <c r="E37" s="22" t="n">
        <v>0</v>
      </c>
      <c r="F37" s="22" t="n">
        <v>0</v>
      </c>
      <c r="G37" s="22" t="n">
        <v>0</v>
      </c>
      <c r="H37" s="22" t="n">
        <v>222.1</v>
      </c>
      <c r="I37" s="22" t="n">
        <v>255.8</v>
      </c>
      <c r="J37" s="22" t="n">
        <v>599</v>
      </c>
      <c r="K37" s="22" t="n">
        <v>873</v>
      </c>
      <c r="L37" s="22" t="n">
        <v>1157</v>
      </c>
      <c r="M37" s="23" t="n"/>
      <c r="N37" s="23" t="n"/>
      <c r="O37" s="23" t="n"/>
      <c r="P37" s="23" t="n"/>
    </row>
    <row r="38" ht="14.4" customFormat="1" customHeight="1" s="24">
      <c r="B38" s="10" t="inlineStr">
        <is>
          <t>Inventories</t>
        </is>
      </c>
      <c r="C38" s="22" t="n">
        <v>1927.6</v>
      </c>
      <c r="D38" s="22" t="n">
        <v>1919.7</v>
      </c>
      <c r="E38" s="22" t="n">
        <v>1934.3</v>
      </c>
      <c r="F38" s="22" t="n">
        <v>1927.5</v>
      </c>
      <c r="G38" s="22" t="n">
        <v>2051.9</v>
      </c>
      <c r="H38" s="22" t="n">
        <v>2156.7</v>
      </c>
      <c r="I38" s="22" t="n">
        <v>2230</v>
      </c>
      <c r="J38" s="22" t="n">
        <v>2063</v>
      </c>
      <c r="K38" s="22" t="n">
        <v>2305</v>
      </c>
      <c r="L38" s="22" t="n">
        <v>2668</v>
      </c>
      <c r="M38" s="23" t="n"/>
      <c r="N38" s="23" t="n"/>
      <c r="O38" s="23" t="n"/>
      <c r="P38" s="23" t="n"/>
    </row>
    <row r="39" ht="14.4" customFormat="1" customHeight="1" s="24">
      <c r="B39" s="8" t="inlineStr">
        <is>
          <t>Trade Receivables</t>
        </is>
      </c>
      <c r="C39" s="22" t="n">
        <v>2953.4</v>
      </c>
      <c r="D39" s="22" t="n">
        <v>2711.2</v>
      </c>
      <c r="E39" s="22" t="n">
        <v>2542.5</v>
      </c>
      <c r="F39" s="22" t="n">
        <v>2283.5</v>
      </c>
      <c r="G39" s="22" t="n">
        <v>2187.2</v>
      </c>
      <c r="H39" s="22" t="n">
        <v>2373.6</v>
      </c>
      <c r="I39" s="22" t="n">
        <v>2434</v>
      </c>
      <c r="J39" s="22" t="n">
        <v>3056</v>
      </c>
      <c r="K39" s="22" t="n">
        <v>3410</v>
      </c>
      <c r="L39" s="22" t="n">
        <v>3609</v>
      </c>
      <c r="M39" s="23" t="n"/>
      <c r="N39" s="23" t="n"/>
      <c r="O39" s="23" t="n"/>
      <c r="P39" s="23" t="n"/>
    </row>
    <row r="40" ht="15.6" customFormat="1" customHeight="1" s="24">
      <c r="B40" s="8" t="inlineStr">
        <is>
          <t>Cash And Cash Equivalents</t>
        </is>
      </c>
      <c r="C40" s="22" t="n">
        <v>87.2</v>
      </c>
      <c r="D40" s="22" t="n">
        <v>256</v>
      </c>
      <c r="E40" s="22" t="n">
        <v>282.9</v>
      </c>
      <c r="F40" s="22" t="n">
        <v>73.5</v>
      </c>
      <c r="G40" s="22" t="n">
        <v>83.90000000000001</v>
      </c>
      <c r="H40" s="22" t="n">
        <v>60.3</v>
      </c>
      <c r="I40" s="22" t="n">
        <v>883.3</v>
      </c>
      <c r="J40" s="22" t="n">
        <v>1269</v>
      </c>
      <c r="K40" s="22" t="n">
        <v>2030</v>
      </c>
      <c r="L40" s="22" t="n">
        <v>1977</v>
      </c>
      <c r="M40" s="23" t="n"/>
      <c r="N40" s="23" t="n"/>
      <c r="O40" s="23" t="n"/>
      <c r="P40" s="23" t="n"/>
    </row>
    <row r="41" ht="14.4" customFormat="1" customHeight="1" s="24">
      <c r="B41" s="8" t="inlineStr">
        <is>
          <t>Short Term Loans And Advances</t>
        </is>
      </c>
      <c r="C41" s="22" t="n">
        <v>22.7</v>
      </c>
      <c r="D41" s="22" t="n">
        <v>29.9</v>
      </c>
      <c r="E41" s="22" t="n">
        <v>16.9</v>
      </c>
      <c r="F41" s="22" t="n">
        <v>16</v>
      </c>
      <c r="G41" s="22" t="n">
        <v>15.6</v>
      </c>
      <c r="H41" s="22" t="n">
        <v>11.3</v>
      </c>
      <c r="I41" s="22" t="n">
        <v>16.3</v>
      </c>
      <c r="J41" s="22" t="n">
        <v>10</v>
      </c>
      <c r="K41" s="22" t="n">
        <v>22</v>
      </c>
      <c r="L41" s="22" t="n">
        <v>1</v>
      </c>
      <c r="M41" s="23" t="n"/>
      <c r="N41" s="23" t="n"/>
      <c r="O41" s="23" t="n"/>
      <c r="P41" s="23" t="n"/>
    </row>
    <row r="42" ht="14.4" customFormat="1" customHeight="1" s="24">
      <c r="B42" s="8" t="inlineStr">
        <is>
          <t>OtherCurrentAssets</t>
        </is>
      </c>
      <c r="C42" s="22" t="n">
        <v>758.1</v>
      </c>
      <c r="D42" s="22" t="n">
        <v>819.3</v>
      </c>
      <c r="E42" s="22" t="n">
        <v>487.2</v>
      </c>
      <c r="F42" s="22" t="n">
        <v>569.8</v>
      </c>
      <c r="G42" s="22" t="n">
        <v>464.4</v>
      </c>
      <c r="H42" s="22" t="n">
        <v>339.4</v>
      </c>
      <c r="I42" s="22" t="n">
        <v>415.2</v>
      </c>
      <c r="J42" s="22" t="n">
        <v>380</v>
      </c>
      <c r="K42" s="22" t="n">
        <v>562</v>
      </c>
      <c r="L42" s="22" t="n">
        <v>1151</v>
      </c>
      <c r="M42" s="23" t="n"/>
      <c r="N42" s="23" t="n"/>
      <c r="O42" s="23" t="n"/>
      <c r="P42" s="23" t="n"/>
    </row>
    <row r="43" ht="14.4" customHeight="1">
      <c r="B43" s="9" t="inlineStr">
        <is>
          <t>Total Current Assets</t>
        </is>
      </c>
      <c r="C43" s="19">
        <f>SUM(C37:C42)</f>
        <v/>
      </c>
      <c r="D43" s="19">
        <f>SUM(D37:D42)</f>
        <v/>
      </c>
      <c r="E43" s="19">
        <f>SUM(E37:E42)</f>
        <v/>
      </c>
      <c r="F43" s="19">
        <f>SUM(F37:F42)</f>
        <v/>
      </c>
      <c r="G43" s="19">
        <f>SUM(G37:G42)</f>
        <v/>
      </c>
      <c r="H43" s="19">
        <f>SUM(H37:H42)</f>
        <v/>
      </c>
      <c r="I43" s="19">
        <f>SUM(I37:I42)</f>
        <v/>
      </c>
      <c r="J43" s="19">
        <f>SUM(J37:J42)</f>
        <v/>
      </c>
      <c r="K43" s="19">
        <f>SUM(K37:K42)</f>
        <v/>
      </c>
      <c r="L43" s="19">
        <f>SUM(L37:L42)</f>
        <v/>
      </c>
      <c r="M43" s="15" t="n"/>
      <c r="N43" s="15" t="n"/>
      <c r="O43" s="15" t="n"/>
      <c r="P43" s="15" t="n"/>
    </row>
    <row r="44" ht="14.4" customHeight="1">
      <c r="A44" t="inlineStr">
        <is>
          <t>x</t>
        </is>
      </c>
      <c r="B44" s="7" t="inlineStr">
        <is>
          <t>Total Assets</t>
        </is>
      </c>
      <c r="C44" s="19" t="n">
        <v>8895.9</v>
      </c>
      <c r="D44" s="19" t="n">
        <v>8956.299999999999</v>
      </c>
      <c r="E44" s="19" t="n">
        <v>9108.9</v>
      </c>
      <c r="F44" s="19" t="n">
        <v>8851.299999999999</v>
      </c>
      <c r="G44" s="19" t="n">
        <v>8537</v>
      </c>
      <c r="H44" s="19" t="n">
        <v>8911.299999999999</v>
      </c>
      <c r="I44" s="19" t="n">
        <v>9761.5</v>
      </c>
      <c r="J44" s="19" t="n">
        <v>11249</v>
      </c>
      <c r="K44" s="19" t="n">
        <v>13248</v>
      </c>
      <c r="L44" s="19" t="n">
        <v>14469</v>
      </c>
      <c r="M44" s="15" t="n"/>
      <c r="N44" s="15" t="n"/>
      <c r="O44" s="15" t="n"/>
      <c r="P44" s="15" t="n"/>
    </row>
    <row r="45" ht="1.95" customHeight="1">
      <c r="B45" s="25" t="n"/>
      <c r="C45" s="26" t="n"/>
      <c r="D45" s="26" t="n"/>
      <c r="E45" s="26" t="n"/>
      <c r="F45" s="26" t="n"/>
      <c r="G45" s="26" t="n"/>
      <c r="H45" s="17" t="n"/>
      <c r="I45" s="17" t="n"/>
      <c r="J45" s="17" t="n"/>
      <c r="K45" s="17" t="n"/>
      <c r="L45" s="17" t="n"/>
      <c r="M45" s="17" t="n"/>
      <c r="N45" s="15" t="n"/>
      <c r="O45" s="15" t="n"/>
      <c r="P45" s="15" t="n"/>
    </row>
    <row r="46">
      <c r="M46" s="15" t="n"/>
      <c r="N46" s="15" t="n"/>
      <c r="O46" s="15" t="n"/>
      <c r="P46" s="15" t="n"/>
    </row>
    <row r="47">
      <c r="B47" s="3" t="inlineStr">
        <is>
          <t>Test</t>
        </is>
      </c>
      <c r="C47" s="11">
        <f>IF(C23=C44,"Matched","Unmatched")</f>
        <v/>
      </c>
      <c r="D47" s="11">
        <f>IF(D23=D44,"Matched","Unmatched")</f>
        <v/>
      </c>
      <c r="E47" s="11">
        <f>IF(E23=E44,"Matched","Unmatched")</f>
        <v/>
      </c>
      <c r="F47" s="11">
        <f>IF(F23=F44,"Matched","Unmatched")</f>
        <v/>
      </c>
      <c r="G47" s="11">
        <f>IF(G23=G44,"Matched","Unmatched")</f>
        <v/>
      </c>
      <c r="H47" s="11">
        <f>IF(H23=H44,"Matched","Unmatched")</f>
        <v/>
      </c>
      <c r="I47" s="11">
        <f>IF(I23=I44,"Matched","Unmatched")</f>
        <v/>
      </c>
      <c r="J47" s="11">
        <f>IF(J23=J44,"Matched","Unmatched")</f>
        <v/>
      </c>
      <c r="K47" s="11">
        <f>IF(K23=K44,"Matched","Unmatched")</f>
        <v/>
      </c>
      <c r="L47" s="11">
        <f>IF(L23=L44,"Matched","Unmatched")</f>
        <v/>
      </c>
      <c r="M47" s="11">
        <f>IF(M23=M44,"Matched","Unmatched")</f>
        <v/>
      </c>
      <c r="N47" s="11">
        <f>IF(N23=N44,"Matched","Unmatched")</f>
        <v/>
      </c>
      <c r="O47" s="11">
        <f>IF(O23=O44,"Matched","Unmatched")</f>
        <v/>
      </c>
      <c r="P47" s="11">
        <f>IF(P23=P44,"Matched","Unmatched")</f>
        <v/>
      </c>
    </row>
    <row r="48" ht="14.4" customHeight="1"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</row>
    <row r="49">
      <c r="C49" s="15">
        <f>C37+C40</f>
        <v/>
      </c>
      <c r="D49" s="15">
        <f>D37+D40</f>
        <v/>
      </c>
      <c r="E49" s="15">
        <f>E37+E40</f>
        <v/>
      </c>
      <c r="F49" s="15">
        <f>F37+F40</f>
        <v/>
      </c>
      <c r="G49" s="15">
        <f>G37+G40</f>
        <v/>
      </c>
      <c r="H49" s="15">
        <f>H37+H40</f>
        <v/>
      </c>
      <c r="I49" s="15">
        <f>I37+I40</f>
        <v/>
      </c>
      <c r="J49" s="15">
        <f>J37+J40</f>
        <v/>
      </c>
      <c r="K49" s="15">
        <f>K37+K40</f>
        <v/>
      </c>
      <c r="L49" s="15">
        <f>L37+L40</f>
        <v/>
      </c>
      <c r="M49" s="15" t="n"/>
      <c r="N49" s="15" t="n"/>
      <c r="O49" s="15" t="n"/>
      <c r="P49" s="15" t="n"/>
    </row>
    <row r="50"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</row>
    <row r="53">
      <c r="C53" s="435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X47"/>
  <sheetViews>
    <sheetView showGridLines="0" topLeftCell="A21" workbookViewId="0">
      <selection activeCell="C23" sqref="C23"/>
    </sheetView>
  </sheetViews>
  <sheetFormatPr baseColWidth="8" defaultRowHeight="14.4"/>
  <cols>
    <col width="73.88671875" bestFit="1" customWidth="1" min="2" max="2"/>
    <col width="14.5546875" customWidth="1" min="12" max="12"/>
  </cols>
  <sheetData>
    <row r="2">
      <c r="B2" s="7" t="inlineStr">
        <is>
          <t>Notes to Accounts</t>
        </is>
      </c>
    </row>
    <row r="3" ht="18" customFormat="1" customHeight="1" s="110">
      <c r="B3" s="109" t="inlineStr">
        <is>
          <t>Other Income</t>
        </is>
      </c>
    </row>
    <row r="4">
      <c r="C4" s="7" t="n">
        <v>2022</v>
      </c>
      <c r="D4" s="7">
        <f>C4+1</f>
        <v/>
      </c>
      <c r="E4" s="7">
        <f>D4+1</f>
        <v/>
      </c>
      <c r="F4" s="7">
        <f>E4+1</f>
        <v/>
      </c>
      <c r="G4" s="7">
        <f>F4+1</f>
        <v/>
      </c>
    </row>
    <row r="5">
      <c r="B5" s="7" t="n"/>
      <c r="M5" s="198" t="n">
        <v>42064</v>
      </c>
      <c r="N5" s="198" t="n">
        <v>42430</v>
      </c>
      <c r="O5" s="198" t="n">
        <v>42795</v>
      </c>
      <c r="P5" s="198" t="n">
        <v>43160</v>
      </c>
      <c r="Q5" s="198" t="n">
        <v>43525</v>
      </c>
      <c r="R5" s="198" t="n">
        <v>43891</v>
      </c>
      <c r="S5" s="198" t="n">
        <v>44256</v>
      </c>
      <c r="T5" s="198" t="n">
        <v>44621</v>
      </c>
      <c r="U5" s="198" t="n">
        <v>44986</v>
      </c>
      <c r="V5" s="198" t="n">
        <v>45352</v>
      </c>
      <c r="W5" s="198" t="n">
        <v>45717</v>
      </c>
      <c r="X5" s="198" t="n">
        <v>46082</v>
      </c>
    </row>
    <row r="6">
      <c r="B6" t="inlineStr">
        <is>
          <t>Interest income on financial assets held at amortised cost</t>
        </is>
      </c>
      <c r="C6" s="106" t="n">
        <v>6.1</v>
      </c>
      <c r="D6" s="106" t="n">
        <v>32</v>
      </c>
      <c r="E6" s="106" t="n">
        <v>0</v>
      </c>
      <c r="F6" s="106" t="n">
        <v>0</v>
      </c>
      <c r="G6" s="106" t="n">
        <v>0</v>
      </c>
      <c r="L6" t="inlineStr">
        <is>
          <t>Debtor Days</t>
        </is>
      </c>
      <c r="M6" t="n">
        <v>69</v>
      </c>
      <c r="N6" t="n">
        <v>99</v>
      </c>
      <c r="O6" t="n">
        <v>122</v>
      </c>
      <c r="P6" t="n">
        <v>115</v>
      </c>
      <c r="Q6" t="n">
        <v>99</v>
      </c>
      <c r="R6" t="n">
        <v>89</v>
      </c>
      <c r="S6" t="n">
        <v>98</v>
      </c>
      <c r="T6" t="n">
        <v>89</v>
      </c>
      <c r="U6" t="n">
        <v>84</v>
      </c>
      <c r="V6" t="n">
        <v>99</v>
      </c>
      <c r="W6" t="n">
        <v>103</v>
      </c>
      <c r="X6" t="n">
        <v>106</v>
      </c>
    </row>
    <row r="7">
      <c r="B7" t="inlineStr">
        <is>
          <t>Exchange gain (net)</t>
        </is>
      </c>
      <c r="C7" s="106" t="n">
        <v>0.4</v>
      </c>
      <c r="D7" s="106" t="n">
        <v>0</v>
      </c>
      <c r="E7" s="106" t="n">
        <v>0</v>
      </c>
      <c r="F7" s="106" t="n">
        <v>0</v>
      </c>
      <c r="G7" s="106" t="n">
        <v>0</v>
      </c>
      <c r="L7" t="inlineStr">
        <is>
          <t>Inventory Days</t>
        </is>
      </c>
      <c r="M7" t="n">
        <v>123</v>
      </c>
      <c r="N7" t="n">
        <v>150</v>
      </c>
      <c r="O7" t="n">
        <v>226</v>
      </c>
      <c r="P7" t="n">
        <v>263</v>
      </c>
      <c r="Q7" t="n">
        <v>235</v>
      </c>
      <c r="R7" t="n">
        <v>199</v>
      </c>
      <c r="S7" t="n">
        <v>254</v>
      </c>
      <c r="T7" t="n">
        <v>229</v>
      </c>
      <c r="U7" t="n">
        <v>193</v>
      </c>
      <c r="V7" t="n">
        <v>186</v>
      </c>
      <c r="W7" t="n">
        <v>197</v>
      </c>
      <c r="X7" t="n">
        <v>146</v>
      </c>
    </row>
    <row r="8">
      <c r="B8" t="inlineStr">
        <is>
          <t>Gain on disposal of property plant and equipment (net)</t>
        </is>
      </c>
      <c r="C8" s="106" t="n">
        <v>12.3</v>
      </c>
      <c r="D8" s="106" t="n">
        <v>20.3</v>
      </c>
      <c r="E8" s="106" t="n">
        <v>12</v>
      </c>
      <c r="F8" s="106" t="n">
        <v>99</v>
      </c>
      <c r="G8" s="106" t="n">
        <v>0</v>
      </c>
      <c r="L8" t="inlineStr">
        <is>
          <t>Days Payable</t>
        </is>
      </c>
      <c r="M8" t="n">
        <v>56</v>
      </c>
      <c r="N8" t="n">
        <v>78</v>
      </c>
      <c r="O8" t="n">
        <v>144</v>
      </c>
      <c r="P8" t="n">
        <v>195</v>
      </c>
      <c r="Q8" t="n">
        <v>171</v>
      </c>
      <c r="R8" t="n">
        <v>124</v>
      </c>
      <c r="S8" t="n">
        <v>176</v>
      </c>
      <c r="T8" t="n">
        <v>168</v>
      </c>
      <c r="U8" t="n">
        <v>154</v>
      </c>
      <c r="V8" t="n">
        <v>176</v>
      </c>
      <c r="W8" t="n">
        <v>191</v>
      </c>
      <c r="X8" t="n">
        <v>130</v>
      </c>
    </row>
    <row r="9">
      <c r="B9" t="inlineStr">
        <is>
          <t>Profit on sale of investment</t>
        </is>
      </c>
      <c r="C9" s="106" t="n">
        <v>0.6</v>
      </c>
      <c r="D9" s="106" t="n">
        <v>16.6</v>
      </c>
      <c r="E9" s="106" t="n">
        <v>0</v>
      </c>
      <c r="F9" s="106" t="n">
        <v>0</v>
      </c>
      <c r="G9" s="106" t="n">
        <v>0</v>
      </c>
      <c r="L9" t="inlineStr">
        <is>
          <t>Cash Conversion Cycle</t>
        </is>
      </c>
      <c r="M9" t="n">
        <v>136</v>
      </c>
      <c r="N9" t="n">
        <v>171</v>
      </c>
      <c r="O9" t="n">
        <v>205</v>
      </c>
      <c r="P9" t="n">
        <v>183</v>
      </c>
      <c r="Q9" t="n">
        <v>163</v>
      </c>
      <c r="R9" t="n">
        <v>165</v>
      </c>
      <c r="S9" t="n">
        <v>177</v>
      </c>
      <c r="T9" t="n">
        <v>150</v>
      </c>
      <c r="U9" t="n">
        <v>122</v>
      </c>
      <c r="V9" t="n">
        <v>108</v>
      </c>
      <c r="W9" t="n">
        <v>109</v>
      </c>
      <c r="X9" t="n">
        <v>121</v>
      </c>
    </row>
    <row r="10">
      <c r="B10" t="inlineStr">
        <is>
          <t>Fair value gains on current investments (net)</t>
        </is>
      </c>
      <c r="C10" s="106" t="n">
        <v>0</v>
      </c>
      <c r="D10" s="106" t="n">
        <v>2.5</v>
      </c>
      <c r="E10" s="106" t="n">
        <v>0</v>
      </c>
      <c r="F10" s="106" t="n">
        <v>0</v>
      </c>
      <c r="G10" s="106" t="n">
        <v>0</v>
      </c>
      <c r="L10" t="inlineStr">
        <is>
          <t>Working Capital Days</t>
        </is>
      </c>
      <c r="M10" t="n">
        <v>-61</v>
      </c>
      <c r="N10" t="n">
        <v>-30</v>
      </c>
      <c r="O10" t="n">
        <v>-22</v>
      </c>
      <c r="P10" t="n">
        <v>-12</v>
      </c>
      <c r="Q10" t="n">
        <v>-8</v>
      </c>
      <c r="R10" t="n">
        <v>-8</v>
      </c>
      <c r="S10" t="n">
        <v>17</v>
      </c>
      <c r="T10" t="n">
        <v>39</v>
      </c>
      <c r="U10" t="n">
        <v>51</v>
      </c>
      <c r="V10" t="n">
        <v>52</v>
      </c>
      <c r="W10" t="n">
        <v>48</v>
      </c>
      <c r="X10" t="n">
        <v>101</v>
      </c>
    </row>
    <row r="11">
      <c r="B11" t="inlineStr">
        <is>
          <t>Liabilities no longer required written back</t>
        </is>
      </c>
      <c r="C11" s="106" t="n">
        <v>13.4</v>
      </c>
      <c r="D11" s="106" t="n">
        <v>0.4</v>
      </c>
      <c r="E11" s="106" t="n">
        <v>0</v>
      </c>
      <c r="F11" s="106" t="n">
        <v>0</v>
      </c>
      <c r="G11" s="106" t="n">
        <v>0</v>
      </c>
    </row>
    <row r="12">
      <c r="B12" t="inlineStr">
        <is>
          <t>Bad debts / advances recovered</t>
        </is>
      </c>
      <c r="C12" s="106" t="n">
        <v>0</v>
      </c>
      <c r="D12" s="106" t="n">
        <v>0.3</v>
      </c>
      <c r="E12" s="106" t="n">
        <v>4</v>
      </c>
      <c r="F12" s="106" t="n">
        <v>1</v>
      </c>
      <c r="G12" s="106" t="n">
        <v>0</v>
      </c>
      <c r="I12" s="39" t="n"/>
      <c r="J12" s="39" t="n"/>
    </row>
    <row r="13">
      <c r="B13" t="inlineStr">
        <is>
          <t>Miscellaneous income</t>
        </is>
      </c>
      <c r="C13" s="106" t="n">
        <v>2.7</v>
      </c>
      <c r="D13" s="106" t="n">
        <v>1</v>
      </c>
      <c r="E13" s="106" t="n">
        <v>14</v>
      </c>
      <c r="F13" s="106" t="n">
        <v>38</v>
      </c>
      <c r="G13" s="106" t="n">
        <v>0</v>
      </c>
      <c r="H13" s="39" t="n"/>
      <c r="J13" s="39" t="n"/>
    </row>
    <row r="14">
      <c r="B14" s="104" t="inlineStr">
        <is>
          <t>Interest income on term deposits and investments held at amortised cost</t>
        </is>
      </c>
      <c r="C14" s="106" t="n">
        <v>0</v>
      </c>
      <c r="D14" s="106" t="n">
        <v>0</v>
      </c>
      <c r="E14" s="106" t="n">
        <v>42</v>
      </c>
      <c r="F14" s="106" t="n">
        <v>59</v>
      </c>
      <c r="G14" s="106" t="n">
        <v>0</v>
      </c>
    </row>
    <row r="15">
      <c r="B15" t="inlineStr">
        <is>
          <t>Interest income on direct and indirect tax refunds</t>
        </is>
      </c>
      <c r="C15" s="106" t="n">
        <v>0</v>
      </c>
      <c r="D15" s="106" t="n">
        <v>0</v>
      </c>
      <c r="E15" s="106" t="n">
        <v>88</v>
      </c>
      <c r="F15" s="106" t="n">
        <v>48</v>
      </c>
      <c r="G15" s="106" t="n">
        <v>0</v>
      </c>
    </row>
    <row r="16">
      <c r="B16" t="inlineStr">
        <is>
          <t>Interest income from loan to a joint venture held at amortised cost</t>
        </is>
      </c>
      <c r="C16" s="106" t="n">
        <v>0</v>
      </c>
      <c r="D16" s="106" t="n">
        <v>0</v>
      </c>
      <c r="E16" s="106" t="n">
        <v>0</v>
      </c>
      <c r="F16" s="106" t="n">
        <v>1</v>
      </c>
      <c r="G16" s="106" t="n">
        <v>0</v>
      </c>
    </row>
    <row r="17">
      <c r="B17" t="inlineStr">
        <is>
          <t>Profit on redemption of mutual fund units</t>
        </is>
      </c>
      <c r="C17" s="106" t="n">
        <v>0</v>
      </c>
      <c r="D17" s="106" t="n">
        <v>0</v>
      </c>
      <c r="E17" s="106" t="n">
        <v>47</v>
      </c>
      <c r="F17" s="106" t="n">
        <v>74</v>
      </c>
      <c r="G17" s="106" t="n">
        <v>0</v>
      </c>
    </row>
    <row r="18">
      <c r="B18" t="inlineStr">
        <is>
          <t>Increase in fair value of current investments (net)</t>
        </is>
      </c>
      <c r="C18" s="106" t="n">
        <v>0</v>
      </c>
      <c r="D18" s="106" t="n">
        <v>0</v>
      </c>
      <c r="E18" s="106" t="n">
        <v>18</v>
      </c>
      <c r="F18" s="106" t="n">
        <v>16</v>
      </c>
      <c r="G18" s="106" t="n">
        <v>0</v>
      </c>
    </row>
    <row r="19">
      <c r="B19" s="7" t="inlineStr">
        <is>
          <t>Total Other Income</t>
        </is>
      </c>
      <c r="C19" s="107">
        <f>SUM(C6:C18)</f>
        <v/>
      </c>
      <c r="D19" s="107">
        <f>SUM(D6:D18)</f>
        <v/>
      </c>
      <c r="E19" s="107">
        <f>SUM(E6:E18)</f>
        <v/>
      </c>
      <c r="F19" s="107">
        <f>SUM(F6:F18)</f>
        <v/>
      </c>
      <c r="G19" s="436" t="n">
        <v>478</v>
      </c>
    </row>
    <row r="20">
      <c r="B20" t="inlineStr">
        <is>
          <t>Exceptional Items</t>
        </is>
      </c>
      <c r="C20" s="106" t="n">
        <v>-165.2</v>
      </c>
      <c r="D20" s="106" t="n">
        <v>176.4</v>
      </c>
      <c r="E20" s="106" t="n">
        <v>-17</v>
      </c>
      <c r="F20" s="106" t="n">
        <v>-65</v>
      </c>
      <c r="G20" s="106" t="n">
        <v>-91</v>
      </c>
    </row>
    <row r="21">
      <c r="B21" t="inlineStr">
        <is>
          <t>Extraordinary Items</t>
        </is>
      </c>
      <c r="C21" s="106" t="n">
        <v>0</v>
      </c>
      <c r="D21" s="106" t="n">
        <v>0</v>
      </c>
      <c r="E21" s="106" t="n">
        <v>0</v>
      </c>
      <c r="F21" s="106" t="n">
        <v>0</v>
      </c>
      <c r="G21" s="106" t="n">
        <v>129</v>
      </c>
    </row>
    <row r="22">
      <c r="C22" s="39" t="n"/>
      <c r="D22" s="39" t="n"/>
      <c r="E22" s="39" t="n"/>
      <c r="F22" s="39" t="n"/>
      <c r="G22" s="39" t="n"/>
    </row>
    <row r="23">
      <c r="B23" s="7" t="inlineStr">
        <is>
          <t>Total other income For analysis</t>
        </is>
      </c>
      <c r="C23" s="39">
        <f>C19-SUM(C7:C11)</f>
        <v/>
      </c>
      <c r="D23" s="39">
        <f>D19-SUM(D8:D11)</f>
        <v/>
      </c>
      <c r="E23" s="39">
        <f>E19-E8-E12-E15</f>
        <v/>
      </c>
      <c r="F23" s="39">
        <f>F19-F8-F12-F15</f>
        <v/>
      </c>
      <c r="G23" s="39">
        <f>G19</f>
        <v/>
      </c>
      <c r="H23" s="39" t="n"/>
      <c r="I23" s="39" t="n"/>
    </row>
    <row r="24">
      <c r="B24" s="7" t="inlineStr">
        <is>
          <t>Exceptional items for analysis</t>
        </is>
      </c>
      <c r="C24" s="39">
        <f>C19-C23</f>
        <v/>
      </c>
      <c r="D24" s="39">
        <f>D19-D23</f>
        <v/>
      </c>
      <c r="E24" s="39">
        <f>E19-E23</f>
        <v/>
      </c>
      <c r="F24" s="39">
        <f>F19-F23</f>
        <v/>
      </c>
      <c r="G24" s="39">
        <f>G20+G21</f>
        <v/>
      </c>
    </row>
    <row r="25">
      <c r="C25" s="39" t="n"/>
      <c r="D25" s="39" t="n"/>
      <c r="E25" s="39" t="n"/>
      <c r="F25" s="39" t="n"/>
      <c r="G25" s="39" t="n"/>
    </row>
    <row r="26">
      <c r="C26" s="355">
        <f>C23/C19</f>
        <v/>
      </c>
      <c r="D26" s="355">
        <f>D23/D19</f>
        <v/>
      </c>
      <c r="E26" s="355">
        <f>E23/E19</f>
        <v/>
      </c>
      <c r="F26" s="355">
        <f>F23/F19</f>
        <v/>
      </c>
      <c r="G26" s="355">
        <f>G23/G19</f>
        <v/>
      </c>
    </row>
    <row r="27">
      <c r="D27" s="56">
        <f>LN(D23/C23)</f>
        <v/>
      </c>
      <c r="E27" s="56">
        <f>LN(E23/D23)</f>
        <v/>
      </c>
      <c r="F27" s="56">
        <f>LN(F23/E23)</f>
        <v/>
      </c>
      <c r="G27" s="56">
        <f>LN(G23/F23)</f>
        <v/>
      </c>
      <c r="H27" s="108" t="n"/>
      <c r="I27" s="108" t="n"/>
    </row>
    <row r="28">
      <c r="C28" s="39" t="n"/>
    </row>
    <row r="29" ht="18" customHeight="1">
      <c r="B29" s="109" t="inlineStr">
        <is>
          <t>Finance costs</t>
        </is>
      </c>
    </row>
    <row r="30">
      <c r="C30" s="7" t="n">
        <v>2022</v>
      </c>
      <c r="D30" s="7">
        <f>C30+1</f>
        <v/>
      </c>
      <c r="E30" s="7">
        <f>D30+1</f>
        <v/>
      </c>
      <c r="F30" s="7">
        <f>E30+1</f>
        <v/>
      </c>
      <c r="G30" s="7">
        <f>F30+1</f>
        <v/>
      </c>
    </row>
    <row r="31">
      <c r="B31" t="inlineStr">
        <is>
          <t>Interest charges on lease liabilities</t>
        </is>
      </c>
      <c r="C31" s="111" t="n">
        <v>11.9</v>
      </c>
      <c r="D31" s="111" t="n">
        <v>16</v>
      </c>
      <c r="E31" s="111" t="n">
        <v>21</v>
      </c>
      <c r="F31" s="111" t="n">
        <v>40</v>
      </c>
    </row>
    <row r="32">
      <c r="B32" t="inlineStr">
        <is>
          <t>Interest expense on borrowings at amortised cost</t>
        </is>
      </c>
      <c r="C32" s="111" t="n">
        <v>38</v>
      </c>
      <c r="D32" s="111" t="n">
        <v>20.3</v>
      </c>
      <c r="E32" s="111" t="n"/>
      <c r="F32" s="111" t="n"/>
    </row>
    <row r="33">
      <c r="B33" t="inlineStr">
        <is>
          <t>Interest- others</t>
        </is>
      </c>
      <c r="C33" s="111" t="n">
        <v>38.1</v>
      </c>
      <c r="D33" s="111" t="n">
        <v>67.59999999999999</v>
      </c>
      <c r="E33" s="111" t="n">
        <v>55</v>
      </c>
      <c r="F33" s="111" t="n">
        <v>49</v>
      </c>
    </row>
    <row r="34">
      <c r="C34">
        <f>SUM(C31:C33)</f>
        <v/>
      </c>
      <c r="D34">
        <f>SUM(D31:D33)</f>
        <v/>
      </c>
      <c r="E34">
        <f>SUM(E31:E33)</f>
        <v/>
      </c>
      <c r="F34">
        <f>SUM(F31:F33)</f>
        <v/>
      </c>
      <c r="G34" s="111" t="n">
        <v>158</v>
      </c>
    </row>
    <row r="36" ht="18" customHeight="1">
      <c r="B36" s="109" t="inlineStr">
        <is>
          <t>Depreciation and Amortisation</t>
        </is>
      </c>
    </row>
    <row r="37">
      <c r="C37" s="7" t="n">
        <v>2022</v>
      </c>
      <c r="D37" s="7">
        <f>C37+1</f>
        <v/>
      </c>
      <c r="E37" s="7">
        <f>D37+1</f>
        <v/>
      </c>
      <c r="F37" s="7">
        <f>E37+1</f>
        <v/>
      </c>
      <c r="G37" s="7">
        <f>F37+1</f>
        <v/>
      </c>
    </row>
    <row r="38">
      <c r="B38" t="inlineStr">
        <is>
          <t>Depreciation / impairment of property, plant and equipmen</t>
        </is>
      </c>
      <c r="C38" s="111" t="n">
        <v>173.3</v>
      </c>
      <c r="D38" s="111" t="n">
        <v>133.4</v>
      </c>
      <c r="E38" s="111" t="n">
        <v>121</v>
      </c>
      <c r="F38" s="111" t="n">
        <v>114</v>
      </c>
      <c r="G38" s="117">
        <f>G44*$G$41</f>
        <v/>
      </c>
    </row>
    <row r="39">
      <c r="B39" t="inlineStr">
        <is>
          <t>Depreciation of right-of-use assets</t>
        </is>
      </c>
      <c r="C39" s="111" t="n">
        <v>109.9</v>
      </c>
      <c r="D39" s="111" t="n">
        <v>130.1</v>
      </c>
      <c r="E39" s="111" t="n">
        <v>129</v>
      </c>
      <c r="F39" s="111" t="n">
        <v>147</v>
      </c>
      <c r="G39" s="117">
        <f>G45*$G$41</f>
        <v/>
      </c>
    </row>
    <row r="40">
      <c r="B40" t="inlineStr">
        <is>
          <t>Amortisation / impairment of intangible assets</t>
        </is>
      </c>
      <c r="C40" s="111" t="n">
        <v>20.6</v>
      </c>
      <c r="D40" s="111" t="n">
        <v>19</v>
      </c>
      <c r="E40" s="111" t="n">
        <v>25</v>
      </c>
      <c r="F40" s="111" t="n">
        <v>22</v>
      </c>
      <c r="G40" s="117">
        <f>G46*$G$41</f>
        <v/>
      </c>
    </row>
    <row r="41">
      <c r="B41" s="7" t="inlineStr">
        <is>
          <t>Total D&amp;A</t>
        </is>
      </c>
      <c r="C41" s="7">
        <f>SUM(C38:C40)</f>
        <v/>
      </c>
      <c r="D41" s="7">
        <f>SUM(D38:D40)</f>
        <v/>
      </c>
      <c r="E41" s="7">
        <f>SUM(E38:E40)</f>
        <v/>
      </c>
      <c r="F41" s="7">
        <f>SUM(F38:F40)</f>
        <v/>
      </c>
      <c r="G41" s="118" t="n">
        <v>289</v>
      </c>
    </row>
    <row r="44">
      <c r="B44" t="inlineStr">
        <is>
          <t>Depreciation / impairment of PPE as % of total dep</t>
        </is>
      </c>
      <c r="C44" s="56">
        <f>C38/$C$41</f>
        <v/>
      </c>
      <c r="D44" s="56">
        <f>D38/$D$41</f>
        <v/>
      </c>
      <c r="E44" s="56">
        <f>E38/$E$41</f>
        <v/>
      </c>
      <c r="F44" s="56">
        <f>F38/$F$41</f>
        <v/>
      </c>
      <c r="G44" s="116">
        <f>MEDIAN(C44:F44)</f>
        <v/>
      </c>
      <c r="I44" s="7">
        <f>_xlfn.FORMULATEXT(G44)</f>
        <v/>
      </c>
    </row>
    <row r="45">
      <c r="B45" t="inlineStr">
        <is>
          <t>Depreciation of right-of-use assets as % of total dep</t>
        </is>
      </c>
      <c r="C45" s="56">
        <f>C39/$C$41</f>
        <v/>
      </c>
      <c r="D45" s="56">
        <f>D39/$D$41</f>
        <v/>
      </c>
      <c r="E45" s="56">
        <f>E39/$E$41</f>
        <v/>
      </c>
      <c r="F45" s="56">
        <f>F39/$F$41</f>
        <v/>
      </c>
      <c r="G45" s="116">
        <f>MEDIAN(C45:F45)</f>
        <v/>
      </c>
      <c r="I45" s="7">
        <f>_xlfn.FORMULATEXT(G45)</f>
        <v/>
      </c>
    </row>
    <row r="46">
      <c r="B46" t="inlineStr">
        <is>
          <t>Amortisation / impairment of intangible assets as %of total dep</t>
        </is>
      </c>
      <c r="C46" s="56">
        <f>C40/$C$41</f>
        <v/>
      </c>
      <c r="D46" s="56">
        <f>D40/$D$41</f>
        <v/>
      </c>
      <c r="E46" s="56">
        <f>E40/$E$41</f>
        <v/>
      </c>
      <c r="F46" s="56">
        <f>F40/$F$41</f>
        <v/>
      </c>
      <c r="G46" s="116">
        <f>MEDIAN(C46:F46)</f>
        <v/>
      </c>
      <c r="I46" s="7">
        <f>_xlfn.FORMULATEXT(G46)</f>
        <v/>
      </c>
    </row>
    <row r="47">
      <c r="C47" s="108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P29"/>
  <sheetViews>
    <sheetView showGridLines="0" zoomScale="95" zoomScaleNormal="70" workbookViewId="0">
      <selection activeCell="H24" sqref="H24"/>
    </sheetView>
  </sheetViews>
  <sheetFormatPr baseColWidth="8" defaultRowHeight="14.4"/>
  <cols>
    <col width="2.77734375" customWidth="1" min="1" max="1"/>
    <col width="51.77734375" customWidth="1" min="2" max="2"/>
    <col width="9.77734375" customWidth="1" style="39" min="3" max="12"/>
    <col width="9.77734375" customWidth="1" min="13" max="16"/>
  </cols>
  <sheetData>
    <row r="2">
      <c r="B2" s="7" t="inlineStr">
        <is>
          <t>Particulars</t>
        </is>
      </c>
      <c r="C2" s="437" t="n">
        <v>2017</v>
      </c>
      <c r="D2" s="437">
        <f>C2+1</f>
        <v/>
      </c>
      <c r="E2" s="437">
        <f>D2+1</f>
        <v/>
      </c>
      <c r="F2" s="437">
        <f>E2+1</f>
        <v/>
      </c>
      <c r="G2" s="437">
        <f>F2+1</f>
        <v/>
      </c>
      <c r="H2" s="437">
        <f>G2+1</f>
        <v/>
      </c>
      <c r="I2" s="437">
        <f>H2+1</f>
        <v/>
      </c>
      <c r="J2" s="437">
        <f>I2+1</f>
        <v/>
      </c>
      <c r="K2" s="437">
        <f>J2+1</f>
        <v/>
      </c>
      <c r="L2" s="437">
        <f>K2+1</f>
        <v/>
      </c>
      <c r="M2" s="27">
        <f>L2+1</f>
        <v/>
      </c>
      <c r="N2" s="27">
        <f>M2+1</f>
        <v/>
      </c>
      <c r="O2" s="27">
        <f>N2+1</f>
        <v/>
      </c>
      <c r="P2" s="27">
        <f>O2+1</f>
        <v/>
      </c>
    </row>
    <row r="3" ht="1.95" customHeight="1">
      <c r="B3" s="29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27" t="n"/>
      <c r="N3" s="27" t="n"/>
      <c r="O3" s="27" t="n"/>
      <c r="P3" s="27" t="n"/>
    </row>
    <row r="4">
      <c r="A4" t="inlineStr">
        <is>
          <t>x</t>
        </is>
      </c>
      <c r="B4" s="7" t="inlineStr">
        <is>
          <t>INCOME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</row>
    <row r="5" customFormat="1" s="24">
      <c r="B5" s="8" t="inlineStr">
        <is>
          <t>Revenue From Operations [Gross]</t>
        </is>
      </c>
      <c r="C5" s="33" t="n">
        <v>25682.7</v>
      </c>
      <c r="D5" s="33" t="n">
        <v>26335.1</v>
      </c>
      <c r="E5" s="33" t="n">
        <v>28813.8</v>
      </c>
      <c r="F5" s="33" t="n">
        <v>28776.2</v>
      </c>
      <c r="G5" s="33" t="n">
        <v>27385.1</v>
      </c>
      <c r="H5" s="33" t="n">
        <v>31004.1</v>
      </c>
      <c r="I5" s="33" t="n">
        <v>27758</v>
      </c>
      <c r="J5" s="33" t="n">
        <v>25956</v>
      </c>
      <c r="K5" s="33" t="n">
        <v>27220</v>
      </c>
      <c r="L5" s="33" t="n">
        <v>27816</v>
      </c>
    </row>
    <row r="6" customFormat="1" s="24">
      <c r="B6" s="8" t="inlineStr">
        <is>
          <t>Less: Excise/Sevice Tax/Other Levies</t>
        </is>
      </c>
      <c r="C6" s="33" t="n">
        <v>16939.3</v>
      </c>
      <c r="D6" s="33" t="n">
        <v>17965.3</v>
      </c>
      <c r="E6" s="33" t="n">
        <v>19531.7</v>
      </c>
      <c r="F6" s="33" t="n">
        <v>19498.3</v>
      </c>
      <c r="G6" s="33" t="n">
        <v>19287.2</v>
      </c>
      <c r="H6" s="33" t="n">
        <v>21349.4</v>
      </c>
      <c r="I6" s="33" t="n">
        <v>17203.8</v>
      </c>
      <c r="J6" s="33" t="n">
        <v>14697</v>
      </c>
      <c r="K6" s="33" t="n">
        <v>15207</v>
      </c>
      <c r="L6" s="33" t="n">
        <v>15349</v>
      </c>
    </row>
    <row r="7">
      <c r="B7" s="8" t="inlineStr">
        <is>
          <t>Revenue From Operations [Net]</t>
        </is>
      </c>
      <c r="C7" s="34">
        <f>C5-C6</f>
        <v/>
      </c>
      <c r="D7" s="34">
        <f>D5-D6</f>
        <v/>
      </c>
      <c r="E7" s="34">
        <f>E5-E6</f>
        <v/>
      </c>
      <c r="F7" s="34">
        <f>F5-F6</f>
        <v/>
      </c>
      <c r="G7" s="34">
        <f>G5-G6</f>
        <v/>
      </c>
      <c r="H7" s="34">
        <f>H5-H6</f>
        <v/>
      </c>
      <c r="I7" s="34">
        <f>I5-I6</f>
        <v/>
      </c>
      <c r="J7" s="34">
        <f>J5-J6</f>
        <v/>
      </c>
      <c r="K7" s="34">
        <f>K5-K6</f>
        <v/>
      </c>
      <c r="L7" s="34">
        <f>L5-L6</f>
        <v/>
      </c>
    </row>
    <row r="8" customFormat="1" s="24">
      <c r="B8" s="8" t="inlineStr">
        <is>
          <t>Other Operating Revenues</t>
        </is>
      </c>
      <c r="C8" s="33" t="n">
        <v>74.09999999999999</v>
      </c>
      <c r="D8" s="33" t="n">
        <v>220.8</v>
      </c>
      <c r="E8" s="33" t="n">
        <v>58.7</v>
      </c>
      <c r="F8" s="33" t="n">
        <v>47.5</v>
      </c>
      <c r="G8" s="33" t="n">
        <v>33.4</v>
      </c>
      <c r="H8" s="33" t="n">
        <v>57.7</v>
      </c>
      <c r="I8" s="33" t="n">
        <v>57.4</v>
      </c>
      <c r="J8" s="33" t="n">
        <v>62</v>
      </c>
      <c r="K8" s="33" t="n">
        <v>56</v>
      </c>
      <c r="L8" s="33" t="n">
        <v>0</v>
      </c>
    </row>
    <row r="9" customFormat="1" s="28">
      <c r="B9" s="8" t="inlineStr">
        <is>
          <t>Total Operating Revenues</t>
        </is>
      </c>
      <c r="C9" s="38">
        <f>C8+C7</f>
        <v/>
      </c>
      <c r="D9" s="38">
        <f>D8+D7</f>
        <v/>
      </c>
      <c r="E9" s="38">
        <f>E8+E7</f>
        <v/>
      </c>
      <c r="F9" s="38">
        <f>F8+F7</f>
        <v/>
      </c>
      <c r="G9" s="38">
        <f>G8+G7</f>
        <v/>
      </c>
      <c r="H9" s="38">
        <f>H8+H7</f>
        <v/>
      </c>
      <c r="I9" s="38">
        <f>I8+I7</f>
        <v/>
      </c>
      <c r="J9" s="38">
        <f>J8+J7</f>
        <v/>
      </c>
      <c r="K9" s="38">
        <f>K8+K7</f>
        <v/>
      </c>
      <c r="L9" s="38">
        <f>L8+L7</f>
        <v/>
      </c>
    </row>
    <row r="10" customFormat="1" s="24">
      <c r="B10" s="8" t="inlineStr">
        <is>
          <t>Other Income</t>
        </is>
      </c>
      <c r="C10" s="33" t="n">
        <v>105.3</v>
      </c>
      <c r="D10" s="33" t="n">
        <v>218.9</v>
      </c>
      <c r="E10" s="33" t="n">
        <v>69.2</v>
      </c>
      <c r="F10" s="33" t="n">
        <v>22</v>
      </c>
      <c r="G10" s="33" t="n">
        <v>39.6</v>
      </c>
      <c r="H10" s="33" t="n">
        <v>35.5</v>
      </c>
      <c r="I10" s="33" t="n">
        <v>73.09999999999999</v>
      </c>
      <c r="J10" s="33" t="n">
        <v>225</v>
      </c>
      <c r="K10" s="33" t="n">
        <v>336</v>
      </c>
      <c r="L10" s="33" t="n">
        <v>478</v>
      </c>
      <c r="N10" s="47" t="n"/>
    </row>
    <row r="11">
      <c r="B11" s="9" t="inlineStr">
        <is>
          <t>Total Revenue</t>
        </is>
      </c>
      <c r="C11" s="32">
        <f>C9+C10</f>
        <v/>
      </c>
      <c r="D11" s="32">
        <f>D9+D10</f>
        <v/>
      </c>
      <c r="E11" s="32">
        <f>E9+E10</f>
        <v/>
      </c>
      <c r="F11" s="32">
        <f>F9+F10</f>
        <v/>
      </c>
      <c r="G11" s="32">
        <f>G9+G10</f>
        <v/>
      </c>
      <c r="H11" s="32">
        <f>H9+H10</f>
        <v/>
      </c>
      <c r="I11" s="32">
        <f>I9+I10</f>
        <v/>
      </c>
      <c r="J11" s="32">
        <f>J9+J10</f>
        <v/>
      </c>
      <c r="K11" s="32">
        <f>K9+K10</f>
        <v/>
      </c>
      <c r="L11" s="32">
        <f>L9+L10</f>
        <v/>
      </c>
    </row>
    <row r="12">
      <c r="A12" t="inlineStr">
        <is>
          <t>x</t>
        </is>
      </c>
      <c r="B12" s="7" t="inlineStr">
        <is>
          <t>EXPENSES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</row>
    <row r="13" customFormat="1" s="24">
      <c r="B13" s="8" t="inlineStr">
        <is>
          <t>Cost Of Materials Consumed</t>
        </is>
      </c>
      <c r="C13" s="33" t="n">
        <v>4675.5</v>
      </c>
      <c r="D13" s="33" t="n">
        <v>4125.9</v>
      </c>
      <c r="E13" s="33" t="n">
        <v>4254.5</v>
      </c>
      <c r="F13" s="33" t="n">
        <v>4639.8</v>
      </c>
      <c r="G13" s="33" t="n">
        <v>3973.1</v>
      </c>
      <c r="H13" s="33" t="n">
        <v>4796.9</v>
      </c>
      <c r="I13" s="33" t="n">
        <v>5337</v>
      </c>
      <c r="J13" s="33" t="n">
        <v>5254</v>
      </c>
      <c r="K13" s="33" t="n">
        <v>5443</v>
      </c>
      <c r="L13" s="33" t="n">
        <v>6007</v>
      </c>
      <c r="M13" s="47" t="n"/>
    </row>
    <row r="14" customFormat="1" s="24">
      <c r="B14" s="8" t="inlineStr">
        <is>
          <t>Purchase Of Stock-In Trade</t>
        </is>
      </c>
      <c r="C14" s="33" t="n">
        <v>197.4</v>
      </c>
      <c r="D14" s="33" t="n">
        <v>228.8</v>
      </c>
      <c r="E14" s="33" t="n">
        <v>283.2</v>
      </c>
      <c r="F14" s="33" t="n">
        <v>290.7</v>
      </c>
      <c r="G14" s="33" t="n">
        <v>349.4</v>
      </c>
      <c r="H14" s="33" t="n">
        <v>577.3</v>
      </c>
      <c r="I14" s="33" t="n">
        <v>864.2</v>
      </c>
      <c r="J14" s="33" t="n">
        <v>675</v>
      </c>
      <c r="K14" s="33" t="n">
        <v>864</v>
      </c>
      <c r="L14" s="33" t="n">
        <v>808</v>
      </c>
      <c r="M14" s="47" t="n"/>
    </row>
    <row r="15" customFormat="1" s="24">
      <c r="B15" s="8" t="inlineStr">
        <is>
          <t>Changes In Inventories Of FG,WIP And Stock-In Trade</t>
        </is>
      </c>
      <c r="C15" s="33" t="n">
        <v>56.8</v>
      </c>
      <c r="D15" s="33" t="n">
        <v>-14.1</v>
      </c>
      <c r="E15" s="33" t="n">
        <v>65.7</v>
      </c>
      <c r="F15" s="33" t="n">
        <v>98.40000000000001</v>
      </c>
      <c r="G15" s="33" t="n">
        <v>133.1</v>
      </c>
      <c r="H15" s="33" t="n">
        <v>-82.7</v>
      </c>
      <c r="I15" s="33" t="n">
        <v>-137.1</v>
      </c>
      <c r="J15" s="33" t="n">
        <v>119</v>
      </c>
      <c r="K15" s="33" t="n">
        <v>90</v>
      </c>
      <c r="L15" s="33" t="n">
        <v>-141</v>
      </c>
      <c r="M15" s="47" t="n"/>
    </row>
    <row r="16" customFormat="1" s="24">
      <c r="B16" s="8" t="inlineStr">
        <is>
          <t>Employee Benefit Expenses</t>
        </is>
      </c>
      <c r="C16" s="33" t="n">
        <v>688.2</v>
      </c>
      <c r="D16" s="33" t="n">
        <v>680.9</v>
      </c>
      <c r="E16" s="33" t="n">
        <v>689.8</v>
      </c>
      <c r="F16" s="33" t="n">
        <v>530</v>
      </c>
      <c r="G16" s="33" t="n">
        <v>556.4</v>
      </c>
      <c r="H16" s="33" t="n">
        <v>653.1</v>
      </c>
      <c r="I16" s="33" t="n">
        <v>610</v>
      </c>
      <c r="J16" s="33" t="n">
        <v>547</v>
      </c>
      <c r="K16" s="33" t="n">
        <v>609</v>
      </c>
      <c r="L16" s="33" t="n">
        <v>635</v>
      </c>
      <c r="O16" s="47" t="n"/>
    </row>
    <row r="17" customFormat="1" s="24">
      <c r="B17" s="8" t="inlineStr">
        <is>
          <t>Finance Costs</t>
        </is>
      </c>
      <c r="C17" s="33" t="n">
        <v>375.1</v>
      </c>
      <c r="D17" s="33" t="n">
        <v>271</v>
      </c>
      <c r="E17" s="33" t="n">
        <v>237.2</v>
      </c>
      <c r="F17" s="33" t="n">
        <v>212</v>
      </c>
      <c r="G17" s="33" t="n">
        <v>187.6</v>
      </c>
      <c r="H17" s="33" t="n">
        <v>88</v>
      </c>
      <c r="I17" s="33" t="n">
        <v>103.9</v>
      </c>
      <c r="J17" s="33" t="n">
        <v>76</v>
      </c>
      <c r="K17" s="33" t="n">
        <v>89</v>
      </c>
      <c r="L17" s="33" t="n">
        <v>158</v>
      </c>
      <c r="O17" s="47" t="n"/>
    </row>
    <row r="18" customFormat="1" s="24">
      <c r="B18" s="8" t="inlineStr">
        <is>
          <t>Depreciation And Amortisation Expenses</t>
        </is>
      </c>
      <c r="C18" s="33" t="n">
        <v>188.6</v>
      </c>
      <c r="D18" s="33" t="n">
        <v>192.3</v>
      </c>
      <c r="E18" s="33" t="n">
        <v>214.7</v>
      </c>
      <c r="F18" s="33" t="n">
        <v>285.3</v>
      </c>
      <c r="G18" s="33" t="n">
        <v>299.1</v>
      </c>
      <c r="H18" s="33" t="n">
        <v>303.8</v>
      </c>
      <c r="I18" s="33" t="n">
        <v>282.5</v>
      </c>
      <c r="J18" s="33" t="n">
        <v>275</v>
      </c>
      <c r="K18" s="33" t="n">
        <v>283</v>
      </c>
      <c r="L18" s="33" t="n">
        <v>289</v>
      </c>
    </row>
    <row r="19" customFormat="1" s="24">
      <c r="B19" s="8" t="inlineStr">
        <is>
          <t>Other Expenses</t>
        </is>
      </c>
      <c r="C19" s="33" t="n">
        <v>2210.4</v>
      </c>
      <c r="D19" s="33" t="n">
        <v>2368.4</v>
      </c>
      <c r="E19" s="33" t="n">
        <v>2654</v>
      </c>
      <c r="F19" s="33" t="n">
        <v>2194.2</v>
      </c>
      <c r="G19" s="33" t="n">
        <v>2066.6</v>
      </c>
      <c r="H19" s="33" t="n">
        <v>2159.7</v>
      </c>
      <c r="I19" s="33" t="n">
        <v>2520.6</v>
      </c>
      <c r="J19" s="33" t="n">
        <v>2725</v>
      </c>
      <c r="K19" s="33" t="n">
        <v>2820</v>
      </c>
      <c r="L19" s="33" t="n">
        <v>2872</v>
      </c>
    </row>
    <row r="20" ht="14.4" customHeight="1">
      <c r="B20" s="9" t="inlineStr">
        <is>
          <t>Total Expenses</t>
        </is>
      </c>
      <c r="C20" s="32">
        <f>SUM(C13:C19)</f>
        <v/>
      </c>
      <c r="D20" s="32">
        <f>SUM(D13:D19)</f>
        <v/>
      </c>
      <c r="E20" s="32">
        <f>SUM(E13:E19)</f>
        <v/>
      </c>
      <c r="F20" s="32">
        <f>SUM(F13:F19)</f>
        <v/>
      </c>
      <c r="G20" s="32">
        <f>SUM(G13:G19)</f>
        <v/>
      </c>
      <c r="H20" s="32">
        <f>SUM(H13:H19)</f>
        <v/>
      </c>
      <c r="I20" s="32">
        <f>SUM(I13:I19)</f>
        <v/>
      </c>
      <c r="J20" s="32">
        <f>SUM(J13:J19)</f>
        <v/>
      </c>
      <c r="K20" s="32">
        <f>SUM(K13:K19)</f>
        <v/>
      </c>
      <c r="L20" s="32">
        <f>SUM(L13:L19)</f>
        <v/>
      </c>
    </row>
    <row r="21" ht="14.4" customHeight="1">
      <c r="B21" s="8" t="inlineStr">
        <is>
          <t>Profit/Loss Before Exceptional, ExtraOrdinary Items And Tax</t>
        </is>
      </c>
      <c r="C21" s="34">
        <f>C11-C20</f>
        <v/>
      </c>
      <c r="D21" s="34">
        <f>D11-D20</f>
        <v/>
      </c>
      <c r="E21" s="34">
        <f>E11-E20</f>
        <v/>
      </c>
      <c r="F21" s="34">
        <f>F11-F20</f>
        <v/>
      </c>
      <c r="G21" s="34">
        <f>G11-G20</f>
        <v/>
      </c>
      <c r="H21" s="34">
        <f>H11-H20</f>
        <v/>
      </c>
      <c r="I21" s="34">
        <f>I11-I20</f>
        <v/>
      </c>
      <c r="J21" s="34">
        <f>J11-J20</f>
        <v/>
      </c>
      <c r="K21" s="34">
        <f>K11-K20</f>
        <v/>
      </c>
      <c r="L21" s="34">
        <f>L11-L20</f>
        <v/>
      </c>
    </row>
    <row r="22" ht="14.4" customHeight="1">
      <c r="B22" s="8" t="inlineStr">
        <is>
          <t>Exceptional Items</t>
        </is>
      </c>
      <c r="C22" s="33" t="n">
        <v>-368.1</v>
      </c>
      <c r="D22" s="33" t="n">
        <v>-44.5</v>
      </c>
      <c r="E22" s="33" t="n">
        <v>2.6</v>
      </c>
      <c r="F22" s="33" t="n">
        <v>66.59999999999999</v>
      </c>
      <c r="G22" s="33" t="n">
        <v>-64.3</v>
      </c>
      <c r="H22" s="33" t="n">
        <v>-165.2</v>
      </c>
      <c r="I22" s="33" t="n">
        <v>176.4</v>
      </c>
      <c r="J22" s="33" t="n">
        <v>-17</v>
      </c>
      <c r="K22" s="33" t="n">
        <v>-65</v>
      </c>
      <c r="L22" s="33" t="n">
        <v>-91</v>
      </c>
    </row>
    <row r="23">
      <c r="A23" t="inlineStr">
        <is>
          <t>x</t>
        </is>
      </c>
      <c r="B23" s="7" t="inlineStr">
        <is>
          <t>Profit/Loss Before Tax</t>
        </is>
      </c>
      <c r="C23" s="32">
        <f>C21+C22</f>
        <v/>
      </c>
      <c r="D23" s="32">
        <f>D21+D22</f>
        <v/>
      </c>
      <c r="E23" s="32">
        <f>E21+E22</f>
        <v/>
      </c>
      <c r="F23" s="32">
        <f>F21+F22</f>
        <v/>
      </c>
      <c r="G23" s="32">
        <f>G21+G22</f>
        <v/>
      </c>
      <c r="H23" s="32">
        <f>H21+H22</f>
        <v/>
      </c>
      <c r="I23" s="32">
        <f>I21+I22</f>
        <v/>
      </c>
      <c r="J23" s="32">
        <f>J21+J22</f>
        <v/>
      </c>
      <c r="K23" s="32">
        <f>K21+K22</f>
        <v/>
      </c>
      <c r="L23" s="32">
        <f>L21+L22</f>
        <v/>
      </c>
    </row>
    <row r="24">
      <c r="B24" s="9" t="inlineStr">
        <is>
          <t>Total Tax Expenses</t>
        </is>
      </c>
      <c r="C24" s="48" t="n">
        <v>69.7</v>
      </c>
      <c r="D24" s="48" t="n">
        <v>259.9</v>
      </c>
      <c r="E24" s="48" t="n">
        <v>328.1</v>
      </c>
      <c r="F24" s="48" t="n">
        <v>539.7</v>
      </c>
      <c r="G24" s="48" t="n">
        <v>177.9</v>
      </c>
      <c r="H24" s="48" t="n">
        <v>276</v>
      </c>
      <c r="I24" s="48" t="n">
        <v>152.8</v>
      </c>
      <c r="J24" s="48" t="n">
        <v>449</v>
      </c>
      <c r="K24" s="48" t="n">
        <v>553</v>
      </c>
      <c r="L24" s="48" t="n">
        <v>510</v>
      </c>
    </row>
    <row r="25">
      <c r="B25" s="8" t="inlineStr">
        <is>
          <t>Profit/Loss After Tax And Before ExtraOrdinary Items</t>
        </is>
      </c>
      <c r="C25" s="34">
        <f>C23-C24</f>
        <v/>
      </c>
      <c r="D25" s="34">
        <f>D23-D24</f>
        <v/>
      </c>
      <c r="E25" s="34">
        <f>E23-E24</f>
        <v/>
      </c>
      <c r="F25" s="34">
        <f>F23-F24</f>
        <v/>
      </c>
      <c r="G25" s="34">
        <f>G23-G24</f>
        <v/>
      </c>
      <c r="H25" s="34">
        <f>H23-H24</f>
        <v/>
      </c>
      <c r="I25" s="34">
        <f>I23-I24</f>
        <v/>
      </c>
      <c r="J25" s="34">
        <f>J23-J24</f>
        <v/>
      </c>
      <c r="K25" s="34">
        <f>K23-K24</f>
        <v/>
      </c>
      <c r="L25" s="34">
        <f>L23-L24</f>
        <v/>
      </c>
    </row>
    <row r="26">
      <c r="B26" s="8" t="inlineStr">
        <is>
          <t>Extraordinary Items</t>
        </is>
      </c>
      <c r="C26" s="34" t="n">
        <v>0</v>
      </c>
      <c r="D26" s="34" t="n">
        <v>0</v>
      </c>
      <c r="E26" s="34" t="n">
        <v>0</v>
      </c>
      <c r="F26" s="34" t="n">
        <v>0</v>
      </c>
      <c r="G26" s="34" t="n">
        <v>0</v>
      </c>
      <c r="H26" s="34" t="n">
        <v>0</v>
      </c>
      <c r="I26" s="34" t="n">
        <v>0</v>
      </c>
      <c r="J26" s="34" t="n">
        <v>0</v>
      </c>
      <c r="K26" s="34" t="n">
        <v>0</v>
      </c>
      <c r="L26" s="34" t="n">
        <v>129</v>
      </c>
    </row>
    <row r="27">
      <c r="A27" t="inlineStr">
        <is>
          <t>x</t>
        </is>
      </c>
      <c r="B27" s="7" t="inlineStr">
        <is>
          <t>Profit/Loss For The Period</t>
        </is>
      </c>
      <c r="C27" s="32">
        <f>C25+C26</f>
        <v/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</row>
    <row r="29">
      <c r="C29" s="39">
        <f>C26+C22+C10</f>
        <v/>
      </c>
      <c r="D29" s="39">
        <f>D26+D22+D10</f>
        <v/>
      </c>
      <c r="E29" s="39">
        <f>E26+E22+E10</f>
        <v/>
      </c>
      <c r="F29" s="39">
        <f>F26+F22+F10</f>
        <v/>
      </c>
      <c r="G29" s="39">
        <f>G26+G22+G10</f>
        <v/>
      </c>
      <c r="H29" s="39">
        <f>H26+H22+H10</f>
        <v/>
      </c>
      <c r="I29" s="39">
        <f>I26+I22+I10</f>
        <v/>
      </c>
      <c r="J29" s="39">
        <f>J26+J22+J10</f>
        <v/>
      </c>
      <c r="K29" s="39">
        <f>K26+K22+K10</f>
        <v/>
      </c>
      <c r="L29" s="39">
        <f>L26+L22+L10</f>
        <v/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T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</cols>
  <sheetData>
    <row r="2">
      <c r="B2" s="438" t="inlineStr">
        <is>
          <t>Ratio Analysis  (FY2017 - FY2034)</t>
        </is>
      </c>
    </row>
    <row r="4">
      <c r="B4" s="439" t="inlineStr">
        <is>
          <t>Particulars</t>
        </is>
      </c>
      <c r="C4" s="440" t="n">
        <v>2017</v>
      </c>
      <c r="D4" s="440">
        <f>C4+1</f>
        <v/>
      </c>
      <c r="E4" s="440">
        <f>D4+1</f>
        <v/>
      </c>
      <c r="F4" s="440">
        <f>E4+1</f>
        <v/>
      </c>
      <c r="G4" s="440">
        <f>F4+1</f>
        <v/>
      </c>
      <c r="H4" s="440">
        <f>G4+1</f>
        <v/>
      </c>
      <c r="I4" s="440">
        <f>H4+1</f>
        <v/>
      </c>
      <c r="J4" s="440">
        <f>I4+1</f>
        <v/>
      </c>
      <c r="K4" s="440">
        <f>J4+1</f>
        <v/>
      </c>
      <c r="L4" s="440">
        <f>K4+1</f>
        <v/>
      </c>
      <c r="M4" s="440">
        <f>L4+1</f>
        <v/>
      </c>
      <c r="N4" s="440">
        <f>M4+1</f>
        <v/>
      </c>
      <c r="O4" s="440">
        <f>N4+1</f>
        <v/>
      </c>
      <c r="P4" s="440">
        <f>O4+1</f>
        <v/>
      </c>
      <c r="Q4" s="440">
        <f>P4+1</f>
        <v/>
      </c>
      <c r="R4" s="440">
        <f>Q4+1</f>
        <v/>
      </c>
      <c r="S4" s="440">
        <f>R4+1</f>
        <v/>
      </c>
      <c r="T4" s="440">
        <f>S4+1</f>
        <v/>
      </c>
    </row>
    <row r="6">
      <c r="B6" s="441" t="inlineStr">
        <is>
          <t>Profitability Ratios</t>
        </is>
      </c>
      <c r="C6" s="442" t="n"/>
      <c r="D6" s="442" t="n"/>
      <c r="E6" s="442" t="n"/>
      <c r="F6" s="442" t="n"/>
      <c r="G6" s="442" t="n"/>
      <c r="H6" s="442" t="n"/>
      <c r="I6" s="442" t="n"/>
      <c r="J6" s="442" t="n"/>
      <c r="K6" s="442" t="n"/>
      <c r="L6" s="442" t="n"/>
      <c r="M6" s="442" t="n"/>
      <c r="N6" s="442" t="n"/>
      <c r="O6" s="442" t="n"/>
      <c r="P6" s="442" t="n"/>
      <c r="Q6" s="442" t="n"/>
      <c r="R6" s="442" t="n"/>
      <c r="S6" s="442" t="n"/>
      <c r="T6" s="442" t="n"/>
    </row>
    <row r="7">
      <c r="B7" t="inlineStr">
        <is>
          <t>Gross Margin</t>
        </is>
      </c>
      <c r="C7" s="358">
        <f>PL!C8/PL!C6</f>
        <v/>
      </c>
      <c r="D7" s="358">
        <f>PL!D8/PL!D6</f>
        <v/>
      </c>
      <c r="E7" s="358">
        <f>PL!E8/PL!E6</f>
        <v/>
      </c>
      <c r="F7" s="358">
        <f>PL!F8/PL!F6</f>
        <v/>
      </c>
      <c r="G7" s="358">
        <f>PL!G8/PL!G6</f>
        <v/>
      </c>
      <c r="H7" s="358">
        <f>PL!H8/PL!H6</f>
        <v/>
      </c>
      <c r="I7" s="358">
        <f>PL!I8/PL!I6</f>
        <v/>
      </c>
      <c r="J7" s="358">
        <f>PL!J8/PL!J6</f>
        <v/>
      </c>
      <c r="K7" s="358">
        <f>PL!K8/PL!K6</f>
        <v/>
      </c>
      <c r="L7" s="358">
        <f>PL!L8/PL!L6</f>
        <v/>
      </c>
      <c r="M7" s="358">
        <f>PL!M8/PL!M6</f>
        <v/>
      </c>
      <c r="N7" s="358">
        <f>PL!N8/PL!N6</f>
        <v/>
      </c>
      <c r="O7" s="358">
        <f>PL!O8/PL!O6</f>
        <v/>
      </c>
      <c r="P7" s="358">
        <f>PL!P8/PL!P6</f>
        <v/>
      </c>
      <c r="Q7" s="358">
        <f>PL!Q8/PL!Q6</f>
        <v/>
      </c>
      <c r="R7" s="358">
        <f>PL!R8/PL!R6</f>
        <v/>
      </c>
      <c r="S7" s="358">
        <f>PL!S8/PL!S6</f>
        <v/>
      </c>
      <c r="T7" s="358">
        <f>PL!T8/PL!T6</f>
        <v/>
      </c>
    </row>
    <row r="8">
      <c r="B8" t="inlineStr">
        <is>
          <t>EBITDA Margin</t>
        </is>
      </c>
      <c r="C8" s="358">
        <f>PL!C13/PL!C6</f>
        <v/>
      </c>
      <c r="D8" s="358">
        <f>PL!D13/PL!D6</f>
        <v/>
      </c>
      <c r="E8" s="358">
        <f>PL!E13/PL!E6</f>
        <v/>
      </c>
      <c r="F8" s="358">
        <f>PL!F13/PL!F6</f>
        <v/>
      </c>
      <c r="G8" s="358">
        <f>PL!G13/PL!G6</f>
        <v/>
      </c>
      <c r="H8" s="358">
        <f>PL!H13/PL!H6</f>
        <v/>
      </c>
      <c r="I8" s="358">
        <f>PL!I13/PL!I6</f>
        <v/>
      </c>
      <c r="J8" s="358">
        <f>PL!J13/PL!J6</f>
        <v/>
      </c>
      <c r="K8" s="358">
        <f>PL!K13/PL!K6</f>
        <v/>
      </c>
      <c r="L8" s="358">
        <f>PL!L13/PL!L6</f>
        <v/>
      </c>
      <c r="M8" s="358">
        <f>PL!M13/PL!M6</f>
        <v/>
      </c>
      <c r="N8" s="358">
        <f>PL!N13/PL!N6</f>
        <v/>
      </c>
      <c r="O8" s="358">
        <f>PL!O13/PL!O6</f>
        <v/>
      </c>
      <c r="P8" s="358">
        <f>PL!P13/PL!P6</f>
        <v/>
      </c>
      <c r="Q8" s="358">
        <f>PL!Q13/PL!Q6</f>
        <v/>
      </c>
      <c r="R8" s="358">
        <f>PL!R13/PL!R6</f>
        <v/>
      </c>
      <c r="S8" s="358">
        <f>PL!S13/PL!S6</f>
        <v/>
      </c>
      <c r="T8" s="358">
        <f>PL!T13/PL!T6</f>
        <v/>
      </c>
    </row>
    <row r="9">
      <c r="B9" t="inlineStr">
        <is>
          <t>EBIT Margin</t>
        </is>
      </c>
      <c r="C9" s="358">
        <f>PL!C15/PL!C6</f>
        <v/>
      </c>
      <c r="D9" s="358">
        <f>PL!D15/PL!D6</f>
        <v/>
      </c>
      <c r="E9" s="358">
        <f>PL!E15/PL!E6</f>
        <v/>
      </c>
      <c r="F9" s="358">
        <f>PL!F15/PL!F6</f>
        <v/>
      </c>
      <c r="G9" s="358">
        <f>PL!G15/PL!G6</f>
        <v/>
      </c>
      <c r="H9" s="358">
        <f>PL!H15/PL!H6</f>
        <v/>
      </c>
      <c r="I9" s="358">
        <f>PL!I15/PL!I6</f>
        <v/>
      </c>
      <c r="J9" s="358">
        <f>PL!J15/PL!J6</f>
        <v/>
      </c>
      <c r="K9" s="358">
        <f>PL!K15/PL!K6</f>
        <v/>
      </c>
      <c r="L9" s="358">
        <f>PL!L15/PL!L6</f>
        <v/>
      </c>
      <c r="M9" s="358">
        <f>PL!M15/PL!M6</f>
        <v/>
      </c>
      <c r="N9" s="358">
        <f>PL!N15/PL!N6</f>
        <v/>
      </c>
      <c r="O9" s="358">
        <f>PL!O15/PL!O6</f>
        <v/>
      </c>
      <c r="P9" s="358">
        <f>PL!P15/PL!P6</f>
        <v/>
      </c>
      <c r="Q9" s="358">
        <f>PL!Q15/PL!Q6</f>
        <v/>
      </c>
      <c r="R9" s="358">
        <f>PL!R15/PL!R6</f>
        <v/>
      </c>
      <c r="S9" s="358">
        <f>PL!S15/PL!S6</f>
        <v/>
      </c>
      <c r="T9" s="358">
        <f>PL!T15/PL!T6</f>
        <v/>
      </c>
    </row>
    <row r="10">
      <c r="B10" t="inlineStr">
        <is>
          <t>Net Profit Margin</t>
        </is>
      </c>
      <c r="C10" s="358">
        <f>PL!C23/PL!C6</f>
        <v/>
      </c>
      <c r="D10" s="358">
        <f>PL!D23/PL!D6</f>
        <v/>
      </c>
      <c r="E10" s="358">
        <f>PL!E23/PL!E6</f>
        <v/>
      </c>
      <c r="F10" s="358">
        <f>PL!F23/PL!F6</f>
        <v/>
      </c>
      <c r="G10" s="358">
        <f>PL!G23/PL!G6</f>
        <v/>
      </c>
      <c r="H10" s="358">
        <f>PL!H23/PL!H6</f>
        <v/>
      </c>
      <c r="I10" s="358">
        <f>PL!I23/PL!I6</f>
        <v/>
      </c>
      <c r="J10" s="358">
        <f>PL!J23/PL!J6</f>
        <v/>
      </c>
      <c r="K10" s="358">
        <f>PL!K23/PL!K6</f>
        <v/>
      </c>
      <c r="L10" s="358">
        <f>PL!L23/PL!L6</f>
        <v/>
      </c>
      <c r="M10" s="358">
        <f>PL!M23/PL!M6</f>
        <v/>
      </c>
      <c r="N10" s="358">
        <f>PL!N23/PL!N6</f>
        <v/>
      </c>
      <c r="O10" s="358">
        <f>PL!O23/PL!O6</f>
        <v/>
      </c>
      <c r="P10" s="358">
        <f>PL!P23/PL!P6</f>
        <v/>
      </c>
      <c r="Q10" s="358">
        <f>PL!Q23/PL!Q6</f>
        <v/>
      </c>
      <c r="R10" s="358">
        <f>PL!R23/PL!R6</f>
        <v/>
      </c>
      <c r="S10" s="358">
        <f>PL!S23/PL!S6</f>
        <v/>
      </c>
      <c r="T10" s="358">
        <f>PL!T23/PL!T6</f>
        <v/>
      </c>
    </row>
    <row r="11">
      <c r="B11" t="inlineStr">
        <is>
          <t>Return on Equity (ROE)</t>
        </is>
      </c>
      <c r="C11" s="358">
        <f>PL!C23/BS!C12</f>
        <v/>
      </c>
      <c r="D11" s="358">
        <f>PL!D23/BS!D12</f>
        <v/>
      </c>
      <c r="E11" s="358">
        <f>PL!E23/BS!E12</f>
        <v/>
      </c>
      <c r="F11" s="358">
        <f>PL!F23/BS!F12</f>
        <v/>
      </c>
      <c r="G11" s="358">
        <f>PL!G23/BS!G12</f>
        <v/>
      </c>
      <c r="H11" s="358">
        <f>PL!H23/BS!H12</f>
        <v/>
      </c>
      <c r="I11" s="358">
        <f>PL!I23/BS!I12</f>
        <v/>
      </c>
      <c r="J11" s="358">
        <f>PL!J23/BS!J12</f>
        <v/>
      </c>
      <c r="K11" s="358">
        <f>PL!K23/BS!K12</f>
        <v/>
      </c>
      <c r="L11" s="358">
        <f>PL!L23/BS!L12</f>
        <v/>
      </c>
      <c r="M11" s="358">
        <f>PL!M23/BS!M12</f>
        <v/>
      </c>
      <c r="N11" s="358">
        <f>PL!N23/BS!N12</f>
        <v/>
      </c>
      <c r="O11" s="358">
        <f>PL!O23/BS!O12</f>
        <v/>
      </c>
      <c r="P11" s="358">
        <f>PL!P23/BS!P12</f>
        <v/>
      </c>
      <c r="Q11" s="358">
        <f>PL!Q23/BS!Q12</f>
        <v/>
      </c>
      <c r="R11" s="358">
        <f>PL!R23/BS!R12</f>
        <v/>
      </c>
      <c r="S11" s="358">
        <f>PL!S23/BS!S12</f>
        <v/>
      </c>
      <c r="T11" s="358">
        <f>PL!T23/BS!T12</f>
        <v/>
      </c>
    </row>
    <row r="12">
      <c r="B12" t="inlineStr">
        <is>
          <t>Return on Capital Employed (ROCE)</t>
        </is>
      </c>
      <c r="C12" s="358">
        <f>PL!C15/(BS!C48-BS!C25)</f>
        <v/>
      </c>
      <c r="D12" s="358">
        <f>PL!D15/(BS!D48-BS!D25)</f>
        <v/>
      </c>
      <c r="E12" s="358">
        <f>PL!E15/(BS!E48-BS!E25)</f>
        <v/>
      </c>
      <c r="F12" s="358">
        <f>PL!F15/(BS!F48-BS!F25)</f>
        <v/>
      </c>
      <c r="G12" s="358">
        <f>PL!G15/(BS!G48-BS!G25)</f>
        <v/>
      </c>
      <c r="H12" s="358">
        <f>PL!H15/(BS!H48-BS!H25)</f>
        <v/>
      </c>
      <c r="I12" s="358">
        <f>PL!I15/(BS!I48-BS!I25)</f>
        <v/>
      </c>
      <c r="J12" s="358">
        <f>PL!J15/(BS!J48-BS!J25)</f>
        <v/>
      </c>
      <c r="K12" s="358">
        <f>PL!K15/(BS!K48-BS!K25)</f>
        <v/>
      </c>
      <c r="L12" s="358">
        <f>PL!L15/(BS!L48-BS!L25)</f>
        <v/>
      </c>
      <c r="M12" s="358">
        <f>PL!M15/(BS!M48-BS!M25)</f>
        <v/>
      </c>
      <c r="N12" s="358">
        <f>PL!N15/(BS!N48-BS!N25)</f>
        <v/>
      </c>
      <c r="O12" s="358">
        <f>PL!O15/(BS!O48-BS!O25)</f>
        <v/>
      </c>
      <c r="P12" s="358">
        <f>PL!P15/(BS!P48-BS!P25)</f>
        <v/>
      </c>
      <c r="Q12" s="358">
        <f>PL!Q15/(BS!Q48-BS!Q25)</f>
        <v/>
      </c>
      <c r="R12" s="358">
        <f>PL!R15/(BS!R48-BS!R25)</f>
        <v/>
      </c>
      <c r="S12" s="358">
        <f>PL!S15/(BS!S48-BS!S25)</f>
        <v/>
      </c>
      <c r="T12" s="358">
        <f>PL!T15/(BS!T48-BS!T25)</f>
        <v/>
      </c>
    </row>
    <row r="14">
      <c r="B14" s="441" t="inlineStr">
        <is>
          <t>Liquidity Ratios</t>
        </is>
      </c>
      <c r="C14" s="442" t="n"/>
      <c r="D14" s="442" t="n"/>
      <c r="E14" s="442" t="n"/>
      <c r="F14" s="442" t="n"/>
      <c r="G14" s="442" t="n"/>
      <c r="H14" s="442" t="n"/>
      <c r="I14" s="442" t="n"/>
      <c r="J14" s="442" t="n"/>
      <c r="K14" s="442" t="n"/>
      <c r="L14" s="442" t="n"/>
      <c r="M14" s="442" t="n"/>
      <c r="N14" s="442" t="n"/>
      <c r="O14" s="442" t="n"/>
      <c r="P14" s="442" t="n"/>
      <c r="Q14" s="442" t="n"/>
      <c r="R14" s="442" t="n"/>
      <c r="S14" s="442" t="n"/>
      <c r="T14" s="442" t="n"/>
    </row>
    <row r="15">
      <c r="B15" t="inlineStr">
        <is>
          <t>Current Ratio</t>
        </is>
      </c>
      <c r="C15" s="15">
        <f>BS!C46/BS!C25</f>
        <v/>
      </c>
      <c r="D15" s="15">
        <f>BS!D46/BS!D25</f>
        <v/>
      </c>
      <c r="E15" s="15">
        <f>BS!E46/BS!E25</f>
        <v/>
      </c>
      <c r="F15" s="15">
        <f>BS!F46/BS!F25</f>
        <v/>
      </c>
      <c r="G15" s="15">
        <f>BS!G46/BS!G25</f>
        <v/>
      </c>
      <c r="H15" s="15">
        <f>BS!H46/BS!H25</f>
        <v/>
      </c>
      <c r="I15" s="15">
        <f>BS!I46/BS!I25</f>
        <v/>
      </c>
      <c r="J15" s="15">
        <f>BS!J46/BS!J25</f>
        <v/>
      </c>
      <c r="K15" s="15">
        <f>BS!K46/BS!K25</f>
        <v/>
      </c>
      <c r="L15" s="15">
        <f>BS!L46/BS!L25</f>
        <v/>
      </c>
      <c r="M15" s="15">
        <f>BS!M46/BS!M25</f>
        <v/>
      </c>
      <c r="N15" s="15">
        <f>BS!N46/BS!N25</f>
        <v/>
      </c>
      <c r="O15" s="15">
        <f>BS!O46/BS!O25</f>
        <v/>
      </c>
      <c r="P15" s="15">
        <f>BS!P46/BS!P25</f>
        <v/>
      </c>
      <c r="Q15" s="15">
        <f>BS!Q46/BS!Q25</f>
        <v/>
      </c>
      <c r="R15" s="15">
        <f>BS!R46/BS!R25</f>
        <v/>
      </c>
      <c r="S15" s="15">
        <f>BS!S46/BS!S25</f>
        <v/>
      </c>
      <c r="T15" s="15">
        <f>BS!T46/BS!T25</f>
        <v/>
      </c>
    </row>
    <row r="16">
      <c r="B16" t="inlineStr">
        <is>
          <t>Quick Ratio</t>
        </is>
      </c>
      <c r="C16" s="15">
        <f>(BS!C46-BS!C43)/BS!C25</f>
        <v/>
      </c>
      <c r="D16" s="15">
        <f>(BS!D46-BS!D43)/BS!D25</f>
        <v/>
      </c>
      <c r="E16" s="15">
        <f>(BS!E46-BS!E43)/BS!E25</f>
        <v/>
      </c>
      <c r="F16" s="15">
        <f>(BS!F46-BS!F43)/BS!F25</f>
        <v/>
      </c>
      <c r="G16" s="15">
        <f>(BS!G46-BS!G43)/BS!G25</f>
        <v/>
      </c>
      <c r="H16" s="15">
        <f>(BS!H46-BS!H43)/BS!H25</f>
        <v/>
      </c>
      <c r="I16" s="15">
        <f>(BS!I46-BS!I43)/BS!I25</f>
        <v/>
      </c>
      <c r="J16" s="15">
        <f>(BS!J46-BS!J43)/BS!J25</f>
        <v/>
      </c>
      <c r="K16" s="15">
        <f>(BS!K46-BS!K43)/BS!K25</f>
        <v/>
      </c>
      <c r="L16" s="15">
        <f>(BS!L46-BS!L43)/BS!L25</f>
        <v/>
      </c>
      <c r="M16" s="15">
        <f>(BS!M46-BS!M43)/BS!M25</f>
        <v/>
      </c>
      <c r="N16" s="15">
        <f>(BS!N46-BS!N43)/BS!N25</f>
        <v/>
      </c>
      <c r="O16" s="15">
        <f>(BS!O46-BS!O43)/BS!O25</f>
        <v/>
      </c>
      <c r="P16" s="15">
        <f>(BS!P46-BS!P43)/BS!P25</f>
        <v/>
      </c>
      <c r="Q16" s="15">
        <f>(BS!Q46-BS!Q43)/BS!Q25</f>
        <v/>
      </c>
      <c r="R16" s="15">
        <f>(BS!R46-BS!R43)/BS!R25</f>
        <v/>
      </c>
      <c r="S16" s="15">
        <f>(BS!S46-BS!S43)/BS!S25</f>
        <v/>
      </c>
      <c r="T16" s="15">
        <f>(BS!T46-BS!T43)/BS!T25</f>
        <v/>
      </c>
    </row>
    <row r="18">
      <c r="B18" s="441" t="inlineStr">
        <is>
          <t>Leverage Ratios</t>
        </is>
      </c>
      <c r="C18" s="442" t="n"/>
      <c r="D18" s="442" t="n"/>
      <c r="E18" s="442" t="n"/>
      <c r="F18" s="442" t="n"/>
      <c r="G18" s="442" t="n"/>
      <c r="H18" s="442" t="n"/>
      <c r="I18" s="442" t="n"/>
      <c r="J18" s="442" t="n"/>
      <c r="K18" s="442" t="n"/>
      <c r="L18" s="442" t="n"/>
      <c r="M18" s="442" t="n"/>
      <c r="N18" s="442" t="n"/>
      <c r="O18" s="442" t="n"/>
      <c r="P18" s="442" t="n"/>
      <c r="Q18" s="442" t="n"/>
      <c r="R18" s="442" t="n"/>
      <c r="S18" s="442" t="n"/>
      <c r="T18" s="442" t="n"/>
    </row>
    <row r="19">
      <c r="B19" t="inlineStr">
        <is>
          <t>Debt Equity Ratio</t>
        </is>
      </c>
      <c r="C19" s="15">
        <f>(BS!C15+BS!C17+BS!C22)/BS!C12</f>
        <v/>
      </c>
      <c r="D19" s="15">
        <f>(BS!D15+BS!D17+BS!D22)/BS!D12</f>
        <v/>
      </c>
      <c r="E19" s="15">
        <f>(BS!E15+BS!E17+BS!E22)/BS!E12</f>
        <v/>
      </c>
      <c r="F19" s="15">
        <f>(BS!F15+BS!F17+BS!F22)/BS!F12</f>
        <v/>
      </c>
      <c r="G19" s="15">
        <f>(BS!G15+BS!G17+BS!G22)/BS!G12</f>
        <v/>
      </c>
      <c r="H19" s="15">
        <f>(BS!H15+BS!H17+BS!H22)/BS!H12</f>
        <v/>
      </c>
      <c r="I19" s="15">
        <f>(BS!I15+BS!I17+BS!I22)/BS!I12</f>
        <v/>
      </c>
      <c r="J19" s="15">
        <f>(BS!J15+BS!J17+BS!J22)/BS!J12</f>
        <v/>
      </c>
      <c r="K19" s="15">
        <f>(BS!K15+BS!K17+BS!K22)/BS!K12</f>
        <v/>
      </c>
      <c r="L19" s="15">
        <f>(BS!L15+BS!L17+BS!L22)/BS!L12</f>
        <v/>
      </c>
      <c r="M19" s="15">
        <f>(BS!M15+BS!M17+BS!M22)/BS!M12</f>
        <v/>
      </c>
      <c r="N19" s="15">
        <f>(BS!N15+BS!N17+BS!N22)/BS!N12</f>
        <v/>
      </c>
      <c r="O19" s="15">
        <f>(BS!O15+BS!O17+BS!O22)/BS!O12</f>
        <v/>
      </c>
      <c r="P19" s="15">
        <f>(BS!P15+BS!P17+BS!P22)/BS!P12</f>
        <v/>
      </c>
      <c r="Q19" s="15">
        <f>(BS!Q15+BS!Q17+BS!Q22)/BS!Q12</f>
        <v/>
      </c>
      <c r="R19" s="15">
        <f>(BS!R15+BS!R17+BS!R22)/BS!R12</f>
        <v/>
      </c>
      <c r="S19" s="15">
        <f>(BS!S15+BS!S17+BS!S22)/BS!S12</f>
        <v/>
      </c>
      <c r="T19" s="15">
        <f>(BS!T15+BS!T17+BS!T22)/BS!T12</f>
        <v/>
      </c>
    </row>
    <row r="20">
      <c r="B20" t="inlineStr">
        <is>
          <t>Net Debt to EBITDA</t>
        </is>
      </c>
      <c r="C20" s="15">
        <f>((BS!C15+BS!C17+BS!C22)-BS!C45)/PL!C13</f>
        <v/>
      </c>
      <c r="D20" s="15">
        <f>((BS!D15+BS!D17+BS!D22)-BS!D45)/PL!D13</f>
        <v/>
      </c>
      <c r="E20" s="15">
        <f>((BS!E15+BS!E17+BS!E22)-BS!E45)/PL!E13</f>
        <v/>
      </c>
      <c r="F20" s="15">
        <f>((BS!F15+BS!F17+BS!F22)-BS!F45)/PL!F13</f>
        <v/>
      </c>
      <c r="G20" s="15">
        <f>((BS!G15+BS!G17+BS!G22)-BS!G45)/PL!G13</f>
        <v/>
      </c>
      <c r="H20" s="15">
        <f>((BS!H15+BS!H17+BS!H22)-BS!H45)/PL!H13</f>
        <v/>
      </c>
      <c r="I20" s="15">
        <f>((BS!I15+BS!I17+BS!I22)-BS!I45)/PL!I13</f>
        <v/>
      </c>
      <c r="J20" s="15">
        <f>((BS!J15+BS!J17+BS!J22)-BS!J45)/PL!J13</f>
        <v/>
      </c>
      <c r="K20" s="15">
        <f>((BS!K15+BS!K17+BS!K22)-BS!K45)/PL!K13</f>
        <v/>
      </c>
      <c r="L20" s="15">
        <f>((BS!L15+BS!L17+BS!L22)-BS!L45)/PL!L13</f>
        <v/>
      </c>
      <c r="M20" s="15">
        <f>((BS!M15+BS!M17+BS!M22)-BS!M45)/PL!M13</f>
        <v/>
      </c>
      <c r="N20" s="15">
        <f>((BS!N15+BS!N17+BS!N22)-BS!N45)/PL!N13</f>
        <v/>
      </c>
      <c r="O20" s="15">
        <f>((BS!O15+BS!O17+BS!O22)-BS!O45)/PL!O13</f>
        <v/>
      </c>
      <c r="P20" s="15">
        <f>((BS!P15+BS!P17+BS!P22)-BS!P45)/PL!P13</f>
        <v/>
      </c>
      <c r="Q20" s="15">
        <f>((BS!Q15+BS!Q17+BS!Q22)-BS!Q45)/PL!Q13</f>
        <v/>
      </c>
      <c r="R20" s="15">
        <f>((BS!R15+BS!R17+BS!R22)-BS!R45)/PL!R13</f>
        <v/>
      </c>
      <c r="S20" s="15">
        <f>((BS!S15+BS!S17+BS!S22)-BS!S45)/PL!S13</f>
        <v/>
      </c>
      <c r="T20" s="15">
        <f>((BS!T15+BS!T17+BS!T22)-BS!T45)/PL!T13</f>
        <v/>
      </c>
    </row>
    <row r="21">
      <c r="B21" t="inlineStr">
        <is>
          <t>Interest Coverage Ratio</t>
        </is>
      </c>
      <c r="C21" s="443">
        <f>PL!C15/-PL!C18</f>
        <v/>
      </c>
      <c r="D21" s="443">
        <f>PL!D15/-PL!D18</f>
        <v/>
      </c>
      <c r="E21" s="443">
        <f>PL!E15/-PL!E18</f>
        <v/>
      </c>
      <c r="F21" s="443">
        <f>PL!F15/-PL!F18</f>
        <v/>
      </c>
      <c r="G21" s="443">
        <f>PL!G15/-PL!G18</f>
        <v/>
      </c>
      <c r="H21" s="443">
        <f>PL!H15/-PL!H18</f>
        <v/>
      </c>
      <c r="I21" s="443">
        <f>PL!I15/-PL!I18</f>
        <v/>
      </c>
      <c r="J21" s="443">
        <f>PL!J15/-PL!J18</f>
        <v/>
      </c>
      <c r="K21" s="443">
        <f>PL!K15/-PL!K18</f>
        <v/>
      </c>
      <c r="L21" s="443">
        <f>PL!L15/-PL!L18</f>
        <v/>
      </c>
      <c r="M21" s="443">
        <f>PL!M15/-PL!M18</f>
        <v/>
      </c>
      <c r="N21" s="443">
        <f>PL!N15/-PL!N18</f>
        <v/>
      </c>
      <c r="O21" s="443">
        <f>PL!O15/-PL!O18</f>
        <v/>
      </c>
      <c r="P21" s="443">
        <f>PL!P15/-PL!P18</f>
        <v/>
      </c>
      <c r="Q21" s="443">
        <f>PL!Q15/-PL!Q18</f>
        <v/>
      </c>
      <c r="R21" s="443">
        <f>PL!R15/-PL!R18</f>
        <v/>
      </c>
      <c r="S21" s="443">
        <f>PL!S15/-PL!S18</f>
        <v/>
      </c>
      <c r="T21" s="443">
        <f>PL!T15/-PL!T18</f>
        <v/>
      </c>
    </row>
    <row r="23">
      <c r="B23" s="441" t="inlineStr">
        <is>
          <t>Efficiency Ratios</t>
        </is>
      </c>
      <c r="C23" s="442" t="n"/>
      <c r="D23" s="442" t="n"/>
      <c r="E23" s="442" t="n"/>
      <c r="F23" s="442" t="n"/>
      <c r="G23" s="442" t="n"/>
      <c r="H23" s="442" t="n"/>
      <c r="I23" s="442" t="n"/>
      <c r="J23" s="442" t="n"/>
      <c r="K23" s="442" t="n"/>
      <c r="L23" s="442" t="n"/>
      <c r="M23" s="442" t="n"/>
      <c r="N23" s="442" t="n"/>
      <c r="O23" s="442" t="n"/>
      <c r="P23" s="442" t="n"/>
      <c r="Q23" s="442" t="n"/>
      <c r="R23" s="442" t="n"/>
      <c r="S23" s="442" t="n"/>
      <c r="T23" s="442" t="n"/>
    </row>
    <row r="24">
      <c r="B24" t="inlineStr">
        <is>
          <t>Asset Turnover Ratio</t>
        </is>
      </c>
      <c r="C24" s="444">
        <f>PL!C6/BS!C48</f>
        <v/>
      </c>
      <c r="D24" s="444">
        <f>PL!D6/BS!D48</f>
        <v/>
      </c>
      <c r="E24" s="444">
        <f>PL!E6/BS!E48</f>
        <v/>
      </c>
      <c r="F24" s="444">
        <f>PL!F6/BS!F48</f>
        <v/>
      </c>
      <c r="G24" s="444">
        <f>PL!G6/BS!G48</f>
        <v/>
      </c>
      <c r="H24" s="444">
        <f>PL!H6/BS!H48</f>
        <v/>
      </c>
      <c r="I24" s="444">
        <f>PL!I6/BS!I48</f>
        <v/>
      </c>
      <c r="J24" s="444">
        <f>PL!J6/BS!J48</f>
        <v/>
      </c>
      <c r="K24" s="444">
        <f>PL!K6/BS!K48</f>
        <v/>
      </c>
      <c r="L24" s="444">
        <f>PL!L6/BS!L48</f>
        <v/>
      </c>
      <c r="M24" s="444">
        <f>PL!M6/BS!M48</f>
        <v/>
      </c>
      <c r="N24" s="444">
        <f>PL!N6/BS!N48</f>
        <v/>
      </c>
      <c r="O24" s="444">
        <f>PL!O6/BS!O48</f>
        <v/>
      </c>
      <c r="P24" s="444">
        <f>PL!P6/BS!P48</f>
        <v/>
      </c>
      <c r="Q24" s="444">
        <f>PL!Q6/BS!Q48</f>
        <v/>
      </c>
      <c r="R24" s="444">
        <f>PL!R6/BS!R48</f>
        <v/>
      </c>
      <c r="S24" s="444">
        <f>PL!S6/BS!S48</f>
        <v/>
      </c>
      <c r="T24" s="444">
        <f>PL!T6/BS!T48</f>
        <v/>
      </c>
    </row>
    <row r="25">
      <c r="B25" t="inlineStr">
        <is>
          <t>Fixed Asset Turnover Ratio</t>
        </is>
      </c>
      <c r="C25" s="444">
        <f>PL!C6/BS!C37</f>
        <v/>
      </c>
      <c r="D25" s="444">
        <f>PL!D6/BS!D37</f>
        <v/>
      </c>
      <c r="E25" s="444">
        <f>PL!E6/BS!E37</f>
        <v/>
      </c>
      <c r="F25" s="444">
        <f>PL!F6/BS!F37</f>
        <v/>
      </c>
      <c r="G25" s="444">
        <f>PL!G6/BS!G37</f>
        <v/>
      </c>
      <c r="H25" s="444">
        <f>PL!H6/BS!H37</f>
        <v/>
      </c>
      <c r="I25" s="444">
        <f>PL!I6/BS!I37</f>
        <v/>
      </c>
      <c r="J25" s="444">
        <f>PL!J6/BS!J37</f>
        <v/>
      </c>
      <c r="K25" s="444">
        <f>PL!K6/BS!K37</f>
        <v/>
      </c>
      <c r="L25" s="444">
        <f>PL!L6/BS!L37</f>
        <v/>
      </c>
      <c r="M25" s="444">
        <f>PL!M6/BS!M37</f>
        <v/>
      </c>
      <c r="N25" s="444">
        <f>PL!N6/BS!N37</f>
        <v/>
      </c>
      <c r="O25" s="444">
        <f>PL!O6/BS!O37</f>
        <v/>
      </c>
      <c r="P25" s="444">
        <f>PL!P6/BS!P37</f>
        <v/>
      </c>
      <c r="Q25" s="444">
        <f>PL!Q6/BS!Q37</f>
        <v/>
      </c>
      <c r="R25" s="444">
        <f>PL!R6/BS!R37</f>
        <v/>
      </c>
      <c r="S25" s="444">
        <f>PL!S6/BS!S37</f>
        <v/>
      </c>
      <c r="T25" s="444">
        <f>PL!T6/BS!T37</f>
        <v/>
      </c>
    </row>
    <row r="27">
      <c r="B27" s="441" t="inlineStr">
        <is>
          <t>Working Capital Ratios</t>
        </is>
      </c>
      <c r="C27" s="442" t="n"/>
      <c r="D27" s="442" t="n"/>
      <c r="E27" s="442" t="n"/>
      <c r="F27" s="442" t="n"/>
      <c r="G27" s="442" t="n"/>
      <c r="H27" s="442" t="n"/>
      <c r="I27" s="442" t="n"/>
      <c r="J27" s="442" t="n"/>
      <c r="K27" s="442" t="n"/>
      <c r="L27" s="442" t="n"/>
      <c r="M27" s="442" t="n"/>
      <c r="N27" s="442" t="n"/>
      <c r="O27" s="442" t="n"/>
      <c r="P27" s="442" t="n"/>
      <c r="Q27" s="442" t="n"/>
      <c r="R27" s="442" t="n"/>
      <c r="S27" s="442" t="n"/>
      <c r="T27" s="442" t="n"/>
    </row>
    <row r="28">
      <c r="B28" t="inlineStr">
        <is>
          <t>Receivables days</t>
        </is>
      </c>
      <c r="C28" s="62">
        <f>'Working Capital Schedule'!C10</f>
        <v/>
      </c>
      <c r="D28" s="62">
        <f>'Working Capital Schedule'!D10</f>
        <v/>
      </c>
      <c r="E28" s="62">
        <f>'Working Capital Schedule'!E10</f>
        <v/>
      </c>
      <c r="F28" s="62">
        <f>'Working Capital Schedule'!F10</f>
        <v/>
      </c>
      <c r="G28" s="62">
        <f>'Working Capital Schedule'!G10</f>
        <v/>
      </c>
      <c r="H28" s="62">
        <f>'Working Capital Schedule'!H10</f>
        <v/>
      </c>
      <c r="I28" s="62">
        <f>'Working Capital Schedule'!I10</f>
        <v/>
      </c>
      <c r="J28" s="62">
        <f>'Working Capital Schedule'!J10</f>
        <v/>
      </c>
      <c r="K28" s="62">
        <f>'Working Capital Schedule'!K10</f>
        <v/>
      </c>
      <c r="L28" s="62">
        <f>'Working Capital Schedule'!L10</f>
        <v/>
      </c>
      <c r="M28" s="62">
        <f>'Working Capital Schedule'!M10</f>
        <v/>
      </c>
      <c r="N28" s="62">
        <f>'Working Capital Schedule'!N10</f>
        <v/>
      </c>
      <c r="O28" s="62">
        <f>'Working Capital Schedule'!O10</f>
        <v/>
      </c>
      <c r="P28" s="62">
        <f>'Working Capital Schedule'!P10</f>
        <v/>
      </c>
      <c r="Q28" s="62">
        <f>'Working Capital Schedule'!Q10</f>
        <v/>
      </c>
      <c r="R28" s="62">
        <f>'Working Capital Schedule'!R10</f>
        <v/>
      </c>
      <c r="S28" s="62">
        <f>'Working Capital Schedule'!S10</f>
        <v/>
      </c>
      <c r="T28" s="62">
        <f>'Working Capital Schedule'!T10</f>
        <v/>
      </c>
    </row>
    <row r="29">
      <c r="B29" t="inlineStr">
        <is>
          <t>Payables days</t>
        </is>
      </c>
      <c r="C29" s="62">
        <f>'Working Capital Schedule'!C16</f>
        <v/>
      </c>
      <c r="D29" s="62">
        <f>'Working Capital Schedule'!D16</f>
        <v/>
      </c>
      <c r="E29" s="62">
        <f>'Working Capital Schedule'!E16</f>
        <v/>
      </c>
      <c r="F29" s="62">
        <f>'Working Capital Schedule'!F16</f>
        <v/>
      </c>
      <c r="G29" s="62">
        <f>'Working Capital Schedule'!G16</f>
        <v/>
      </c>
      <c r="H29" s="62">
        <f>'Working Capital Schedule'!H16</f>
        <v/>
      </c>
      <c r="I29" s="62">
        <f>'Working Capital Schedule'!I16</f>
        <v/>
      </c>
      <c r="J29" s="62">
        <f>'Working Capital Schedule'!J16</f>
        <v/>
      </c>
      <c r="K29" s="62">
        <f>'Working Capital Schedule'!K16</f>
        <v/>
      </c>
      <c r="L29" s="62">
        <f>'Working Capital Schedule'!L16</f>
        <v/>
      </c>
      <c r="M29" s="62">
        <f>'Working Capital Schedule'!M16</f>
        <v/>
      </c>
      <c r="N29" s="62">
        <f>'Working Capital Schedule'!N16</f>
        <v/>
      </c>
      <c r="O29" s="62">
        <f>'Working Capital Schedule'!O16</f>
        <v/>
      </c>
      <c r="P29" s="62">
        <f>'Working Capital Schedule'!P16</f>
        <v/>
      </c>
      <c r="Q29" s="62">
        <f>'Working Capital Schedule'!Q16</f>
        <v/>
      </c>
      <c r="R29" s="62">
        <f>'Working Capital Schedule'!R16</f>
        <v/>
      </c>
      <c r="S29" s="62">
        <f>'Working Capital Schedule'!S16</f>
        <v/>
      </c>
      <c r="T29" s="62">
        <f>'Working Capital Schedule'!T16</f>
        <v/>
      </c>
    </row>
    <row r="30">
      <c r="B30" t="inlineStr">
        <is>
          <t>Inventory days</t>
        </is>
      </c>
      <c r="C30" s="62">
        <f>'Working Capital Schedule'!C13</f>
        <v/>
      </c>
      <c r="D30" s="62">
        <f>'Working Capital Schedule'!D13</f>
        <v/>
      </c>
      <c r="E30" s="62">
        <f>'Working Capital Schedule'!E13</f>
        <v/>
      </c>
      <c r="F30" s="62">
        <f>'Working Capital Schedule'!F13</f>
        <v/>
      </c>
      <c r="G30" s="62">
        <f>'Working Capital Schedule'!G13</f>
        <v/>
      </c>
      <c r="H30" s="62">
        <f>'Working Capital Schedule'!H13</f>
        <v/>
      </c>
      <c r="I30" s="62">
        <f>'Working Capital Schedule'!I13</f>
        <v/>
      </c>
      <c r="J30" s="62">
        <f>'Working Capital Schedule'!J13</f>
        <v/>
      </c>
      <c r="K30" s="62">
        <f>'Working Capital Schedule'!K13</f>
        <v/>
      </c>
      <c r="L30" s="62">
        <f>'Working Capital Schedule'!L13</f>
        <v/>
      </c>
      <c r="M30" s="62">
        <f>'Working Capital Schedule'!M13</f>
        <v/>
      </c>
      <c r="N30" s="62">
        <f>'Working Capital Schedule'!N13</f>
        <v/>
      </c>
      <c r="O30" s="62">
        <f>'Working Capital Schedule'!O13</f>
        <v/>
      </c>
      <c r="P30" s="62">
        <f>'Working Capital Schedule'!P13</f>
        <v/>
      </c>
      <c r="Q30" s="62">
        <f>'Working Capital Schedule'!Q13</f>
        <v/>
      </c>
      <c r="R30" s="62">
        <f>'Working Capital Schedule'!R13</f>
        <v/>
      </c>
      <c r="S30" s="62">
        <f>'Working Capital Schedule'!S13</f>
        <v/>
      </c>
      <c r="T30" s="62">
        <f>'Working Capital Schedule'!T13</f>
        <v/>
      </c>
    </row>
    <row r="32">
      <c r="B32" s="441" t="inlineStr">
        <is>
          <t>Valuation Ratios</t>
        </is>
      </c>
      <c r="C32" s="442" t="n"/>
      <c r="D32" s="442" t="n"/>
      <c r="E32" s="442" t="n"/>
      <c r="F32" s="442" t="n"/>
      <c r="G32" s="442" t="n"/>
      <c r="H32" s="442" t="n"/>
      <c r="I32" s="442" t="n"/>
      <c r="J32" s="442" t="n"/>
      <c r="K32" s="442" t="n"/>
      <c r="L32" s="442" t="n"/>
      <c r="M32" s="442" t="n"/>
      <c r="N32" s="442" t="n"/>
      <c r="O32" s="442" t="n"/>
      <c r="P32" s="442" t="n"/>
      <c r="Q32" s="442" t="n"/>
      <c r="R32" s="442" t="n"/>
      <c r="S32" s="442" t="n"/>
      <c r="T32" s="442" t="n"/>
    </row>
    <row r="33">
      <c r="B33" t="inlineStr">
        <is>
          <t>EV/EBITDA</t>
        </is>
      </c>
      <c r="C33" s="443">
        <f>C45/PL!C13</f>
        <v/>
      </c>
      <c r="D33" s="443">
        <f>D45/PL!D13</f>
        <v/>
      </c>
      <c r="E33" s="443">
        <f>E45/PL!E13</f>
        <v/>
      </c>
      <c r="F33" s="443">
        <f>F45/PL!F13</f>
        <v/>
      </c>
      <c r="G33" s="443">
        <f>G45/PL!G13</f>
        <v/>
      </c>
      <c r="H33" s="443">
        <f>H45/PL!H13</f>
        <v/>
      </c>
      <c r="I33" s="443">
        <f>I45/PL!I13</f>
        <v/>
      </c>
      <c r="J33" s="443">
        <f>J45/PL!J13</f>
        <v/>
      </c>
      <c r="K33" s="443">
        <f>K45/PL!K13</f>
        <v/>
      </c>
      <c r="L33" s="443">
        <f>L45/PL!L13</f>
        <v/>
      </c>
      <c r="M33" s="443">
        <f>M45/PL!M13</f>
        <v/>
      </c>
      <c r="N33" s="443">
        <f>N45/PL!N13</f>
        <v/>
      </c>
      <c r="O33" s="443">
        <f>O45/PL!O13</f>
        <v/>
      </c>
      <c r="P33" s="443">
        <f>P45/PL!P13</f>
        <v/>
      </c>
      <c r="Q33" s="443">
        <f>Q45/PL!Q13</f>
        <v/>
      </c>
      <c r="R33" s="443">
        <f>R45/PL!R13</f>
        <v/>
      </c>
      <c r="S33" s="443">
        <f>S45/PL!S13</f>
        <v/>
      </c>
      <c r="T33" s="443">
        <f>T45/PL!T13</f>
        <v/>
      </c>
    </row>
    <row r="34">
      <c r="B34" t="inlineStr">
        <is>
          <t>EV/Sales</t>
        </is>
      </c>
      <c r="C34" s="443">
        <f>C45/PL!C6</f>
        <v/>
      </c>
      <c r="D34" s="443">
        <f>D45/PL!D6</f>
        <v/>
      </c>
      <c r="E34" s="443">
        <f>E45/PL!E6</f>
        <v/>
      </c>
      <c r="F34" s="443">
        <f>F45/PL!F6</f>
        <v/>
      </c>
      <c r="G34" s="443">
        <f>G45/PL!G6</f>
        <v/>
      </c>
      <c r="H34" s="443">
        <f>H45/PL!H6</f>
        <v/>
      </c>
      <c r="I34" s="443">
        <f>I45/PL!I6</f>
        <v/>
      </c>
      <c r="J34" s="443">
        <f>J45/PL!J6</f>
        <v/>
      </c>
      <c r="K34" s="443">
        <f>K45/PL!K6</f>
        <v/>
      </c>
      <c r="L34" s="443">
        <f>L45/PL!L6</f>
        <v/>
      </c>
      <c r="M34" s="443">
        <f>M45/PL!M6</f>
        <v/>
      </c>
      <c r="N34" s="443">
        <f>N45/PL!N6</f>
        <v/>
      </c>
      <c r="O34" s="443">
        <f>O45/PL!O6</f>
        <v/>
      </c>
      <c r="P34" s="443">
        <f>P45/PL!P6</f>
        <v/>
      </c>
      <c r="Q34" s="443">
        <f>Q45/PL!Q6</f>
        <v/>
      </c>
      <c r="R34" s="443">
        <f>R45/PL!R6</f>
        <v/>
      </c>
      <c r="S34" s="443">
        <f>S45/PL!S6</f>
        <v/>
      </c>
      <c r="T34" s="443">
        <f>T45/PL!T6</f>
        <v/>
      </c>
    </row>
    <row r="35">
      <c r="B35" t="inlineStr">
        <is>
          <t>EV/EBIT</t>
        </is>
      </c>
      <c r="C35" s="443">
        <f>C45/PL!C15</f>
        <v/>
      </c>
      <c r="D35" s="443">
        <f>D45/PL!D15</f>
        <v/>
      </c>
      <c r="E35" s="443">
        <f>E45/PL!E15</f>
        <v/>
      </c>
      <c r="F35" s="443">
        <f>F45/PL!F15</f>
        <v/>
      </c>
      <c r="G35" s="443">
        <f>G45/PL!G15</f>
        <v/>
      </c>
      <c r="H35" s="443">
        <f>H45/PL!H15</f>
        <v/>
      </c>
      <c r="I35" s="443">
        <f>I45/PL!I15</f>
        <v/>
      </c>
      <c r="J35" s="443">
        <f>J45/PL!J15</f>
        <v/>
      </c>
      <c r="K35" s="443">
        <f>K45/PL!K15</f>
        <v/>
      </c>
      <c r="L35" s="443">
        <f>L45/PL!L15</f>
        <v/>
      </c>
      <c r="M35" s="443">
        <f>M45/PL!M15</f>
        <v/>
      </c>
      <c r="N35" s="443">
        <f>N45/PL!N15</f>
        <v/>
      </c>
      <c r="O35" s="443">
        <f>O45/PL!O15</f>
        <v/>
      </c>
      <c r="P35" s="443">
        <f>P45/PL!P15</f>
        <v/>
      </c>
      <c r="Q35" s="443">
        <f>Q45/PL!Q15</f>
        <v/>
      </c>
      <c r="R35" s="443">
        <f>R45/PL!R15</f>
        <v/>
      </c>
      <c r="S35" s="443">
        <f>S45/PL!S15</f>
        <v/>
      </c>
      <c r="T35" s="443">
        <f>T45/PL!T15</f>
        <v/>
      </c>
    </row>
    <row r="36">
      <c r="B36" t="inlineStr">
        <is>
          <t>PE Ratio</t>
        </is>
      </c>
      <c r="C36" s="443">
        <f>C41/PL!C23</f>
        <v/>
      </c>
      <c r="D36" s="443">
        <f>D41/PL!D23</f>
        <v/>
      </c>
      <c r="E36" s="443">
        <f>E41/PL!E23</f>
        <v/>
      </c>
      <c r="F36" s="443">
        <f>F41/PL!F23</f>
        <v/>
      </c>
      <c r="G36" s="443">
        <f>G41/PL!G23</f>
        <v/>
      </c>
      <c r="H36" s="443">
        <f>H41/PL!H23</f>
        <v/>
      </c>
      <c r="I36" s="443">
        <f>I41/PL!I23</f>
        <v/>
      </c>
      <c r="J36" s="443">
        <f>J41/PL!J23</f>
        <v/>
      </c>
      <c r="K36" s="443">
        <f>K41/PL!K23</f>
        <v/>
      </c>
      <c r="L36" s="443">
        <f>L41/PL!L23</f>
        <v/>
      </c>
      <c r="M36" s="443">
        <f>M41/PL!M23</f>
        <v/>
      </c>
      <c r="N36" s="443">
        <f>N41/PL!N23</f>
        <v/>
      </c>
      <c r="O36" s="443">
        <f>O41/PL!O23</f>
        <v/>
      </c>
      <c r="P36" s="443">
        <f>P41/PL!P23</f>
        <v/>
      </c>
      <c r="Q36" s="443">
        <f>Q41/PL!Q23</f>
        <v/>
      </c>
      <c r="R36" s="443">
        <f>R41/PL!R23</f>
        <v/>
      </c>
      <c r="S36" s="443">
        <f>S41/PL!S23</f>
        <v/>
      </c>
      <c r="T36" s="443">
        <f>T41/PL!T23</f>
        <v/>
      </c>
    </row>
    <row r="39">
      <c r="B39" s="441" t="inlineStr">
        <is>
          <t>Memo - valuation basis (Market Cap held at current level)</t>
        </is>
      </c>
      <c r="C39" s="442" t="n"/>
      <c r="D39" s="442" t="n"/>
      <c r="E39" s="442" t="n"/>
      <c r="F39" s="442" t="n"/>
      <c r="G39" s="442" t="n"/>
      <c r="H39" s="442" t="n"/>
      <c r="I39" s="442" t="n"/>
      <c r="J39" s="442" t="n"/>
      <c r="K39" s="442" t="n"/>
      <c r="L39" s="442" t="n"/>
      <c r="M39" s="442" t="n"/>
      <c r="N39" s="442" t="n"/>
      <c r="O39" s="442" t="n"/>
      <c r="P39" s="442" t="n"/>
      <c r="Q39" s="442" t="n"/>
      <c r="R39" s="442" t="n"/>
      <c r="S39" s="442" t="n"/>
      <c r="T39" s="442" t="n"/>
    </row>
    <row r="41">
      <c r="B41" t="inlineStr">
        <is>
          <t>Market Cap (current, constant)</t>
        </is>
      </c>
      <c r="C41" s="1">
        <f>Comparables!$C$12</f>
        <v/>
      </c>
      <c r="D41" s="1">
        <f>Comparables!$C$12</f>
        <v/>
      </c>
      <c r="E41" s="1">
        <f>Comparables!$C$12</f>
        <v/>
      </c>
      <c r="F41" s="1">
        <f>Comparables!$C$12</f>
        <v/>
      </c>
      <c r="G41" s="1">
        <f>Comparables!$C$12</f>
        <v/>
      </c>
      <c r="H41" s="1">
        <f>Comparables!$C$12</f>
        <v/>
      </c>
      <c r="I41" s="1">
        <f>Comparables!$C$12</f>
        <v/>
      </c>
      <c r="J41" s="1">
        <f>Comparables!$C$12</f>
        <v/>
      </c>
      <c r="K41" s="1">
        <f>Comparables!$C$12</f>
        <v/>
      </c>
      <c r="L41" s="1">
        <f>Comparables!$C$12</f>
        <v/>
      </c>
      <c r="M41" s="1">
        <f>Comparables!$C$12</f>
        <v/>
      </c>
      <c r="N41" s="1">
        <f>Comparables!$C$12</f>
        <v/>
      </c>
      <c r="O41" s="1">
        <f>Comparables!$C$12</f>
        <v/>
      </c>
      <c r="P41" s="1">
        <f>Comparables!$C$12</f>
        <v/>
      </c>
      <c r="Q41" s="1">
        <f>Comparables!$C$12</f>
        <v/>
      </c>
      <c r="R41" s="1">
        <f>Comparables!$C$12</f>
        <v/>
      </c>
      <c r="S41" s="1">
        <f>Comparables!$C$12</f>
        <v/>
      </c>
      <c r="T41" s="1">
        <f>Comparables!$C$12</f>
        <v/>
      </c>
    </row>
    <row r="42">
      <c r="B42" t="inlineStr">
        <is>
          <t>Total Debt (borrowings + leases)</t>
        </is>
      </c>
      <c r="C42" s="1">
        <f>BS!C15+BS!C17+BS!C22</f>
        <v/>
      </c>
      <c r="D42" s="1">
        <f>BS!D15+BS!D17+BS!D22</f>
        <v/>
      </c>
      <c r="E42" s="1">
        <f>BS!E15+BS!E17+BS!E22</f>
        <v/>
      </c>
      <c r="F42" s="1">
        <f>BS!F15+BS!F17+BS!F22</f>
        <v/>
      </c>
      <c r="G42" s="1">
        <f>BS!G15+BS!G17+BS!G22</f>
        <v/>
      </c>
      <c r="H42" s="1">
        <f>BS!H15+BS!H17+BS!H22</f>
        <v/>
      </c>
      <c r="I42" s="1">
        <f>BS!I15+BS!I17+BS!I22</f>
        <v/>
      </c>
      <c r="J42" s="1">
        <f>BS!J15+BS!J17+BS!J22</f>
        <v/>
      </c>
      <c r="K42" s="1">
        <f>BS!K15+BS!K17+BS!K22</f>
        <v/>
      </c>
      <c r="L42" s="1">
        <f>BS!L15+BS!L17+BS!L22</f>
        <v/>
      </c>
      <c r="M42" s="1">
        <f>BS!M15+BS!M17+BS!M22</f>
        <v/>
      </c>
      <c r="N42" s="1">
        <f>BS!N15+BS!N17+BS!N22</f>
        <v/>
      </c>
      <c r="O42" s="1">
        <f>BS!O15+BS!O17+BS!O22</f>
        <v/>
      </c>
      <c r="P42" s="1">
        <f>BS!P15+BS!P17+BS!P22</f>
        <v/>
      </c>
      <c r="Q42" s="1">
        <f>BS!Q15+BS!Q17+BS!Q22</f>
        <v/>
      </c>
      <c r="R42" s="1">
        <f>BS!R15+BS!R17+BS!R22</f>
        <v/>
      </c>
      <c r="S42" s="1">
        <f>BS!S15+BS!S17+BS!S22</f>
        <v/>
      </c>
      <c r="T42" s="1">
        <f>BS!T15+BS!T17+BS!T22</f>
        <v/>
      </c>
    </row>
    <row r="43">
      <c r="B43" t="inlineStr">
        <is>
          <t>Cash &amp; Investments</t>
        </is>
      </c>
      <c r="C43" s="1">
        <f>BS!C45</f>
        <v/>
      </c>
      <c r="D43" s="1">
        <f>BS!D45</f>
        <v/>
      </c>
      <c r="E43" s="1">
        <f>BS!E45</f>
        <v/>
      </c>
      <c r="F43" s="1">
        <f>BS!F45</f>
        <v/>
      </c>
      <c r="G43" s="1">
        <f>BS!G45</f>
        <v/>
      </c>
      <c r="H43" s="1">
        <f>BS!H45</f>
        <v/>
      </c>
      <c r="I43" s="1">
        <f>BS!I45</f>
        <v/>
      </c>
      <c r="J43" s="1">
        <f>BS!J45</f>
        <v/>
      </c>
      <c r="K43" s="1">
        <f>BS!K45</f>
        <v/>
      </c>
      <c r="L43" s="1">
        <f>BS!L45</f>
        <v/>
      </c>
      <c r="M43" s="1">
        <f>BS!M45</f>
        <v/>
      </c>
      <c r="N43" s="1">
        <f>BS!N45</f>
        <v/>
      </c>
      <c r="O43" s="1">
        <f>BS!O45</f>
        <v/>
      </c>
      <c r="P43" s="1">
        <f>BS!P45</f>
        <v/>
      </c>
      <c r="Q43" s="1">
        <f>BS!Q45</f>
        <v/>
      </c>
      <c r="R43" s="1">
        <f>BS!R45</f>
        <v/>
      </c>
      <c r="S43" s="1">
        <f>BS!S45</f>
        <v/>
      </c>
      <c r="T43" s="1">
        <f>BS!T45</f>
        <v/>
      </c>
    </row>
    <row r="44">
      <c r="B44" t="inlineStr">
        <is>
          <t>Net Debt</t>
        </is>
      </c>
      <c r="C44" s="1">
        <f>C42-C43</f>
        <v/>
      </c>
      <c r="D44" s="1">
        <f>D42-D43</f>
        <v/>
      </c>
      <c r="E44" s="1">
        <f>E42-E43</f>
        <v/>
      </c>
      <c r="F44" s="1">
        <f>F42-F43</f>
        <v/>
      </c>
      <c r="G44" s="1">
        <f>G42-G43</f>
        <v/>
      </c>
      <c r="H44" s="1">
        <f>H42-H43</f>
        <v/>
      </c>
      <c r="I44" s="1">
        <f>I42-I43</f>
        <v/>
      </c>
      <c r="J44" s="1">
        <f>J42-J43</f>
        <v/>
      </c>
      <c r="K44" s="1">
        <f>K42-K43</f>
        <v/>
      </c>
      <c r="L44" s="1">
        <f>L42-L43</f>
        <v/>
      </c>
      <c r="M44" s="1">
        <f>M42-M43</f>
        <v/>
      </c>
      <c r="N44" s="1">
        <f>N42-N43</f>
        <v/>
      </c>
      <c r="O44" s="1">
        <f>O42-O43</f>
        <v/>
      </c>
      <c r="P44" s="1">
        <f>P42-P43</f>
        <v/>
      </c>
      <c r="Q44" s="1">
        <f>Q42-Q43</f>
        <v/>
      </c>
      <c r="R44" s="1">
        <f>R42-R43</f>
        <v/>
      </c>
      <c r="S44" s="1">
        <f>S42-S43</f>
        <v/>
      </c>
      <c r="T44" s="1">
        <f>T42-T43</f>
        <v/>
      </c>
    </row>
    <row r="45">
      <c r="B45" t="inlineStr">
        <is>
          <t>Enterprise Value (Mkt Cap + Net Debt)</t>
        </is>
      </c>
      <c r="C45" s="1">
        <f>C41+C44</f>
        <v/>
      </c>
      <c r="D45" s="1">
        <f>D41+D44</f>
        <v/>
      </c>
      <c r="E45" s="1">
        <f>E41+E44</f>
        <v/>
      </c>
      <c r="F45" s="1">
        <f>F41+F44</f>
        <v/>
      </c>
      <c r="G45" s="1">
        <f>G41+G44</f>
        <v/>
      </c>
      <c r="H45" s="1">
        <f>H41+H44</f>
        <v/>
      </c>
      <c r="I45" s="1">
        <f>I41+I44</f>
        <v/>
      </c>
      <c r="J45" s="1">
        <f>J41+J44</f>
        <v/>
      </c>
      <c r="K45" s="1">
        <f>K41+K44</f>
        <v/>
      </c>
      <c r="L45" s="1">
        <f>L41+L44</f>
        <v/>
      </c>
      <c r="M45" s="1">
        <f>M41+M44</f>
        <v/>
      </c>
      <c r="N45" s="1">
        <f>N41+N44</f>
        <v/>
      </c>
      <c r="O45" s="1">
        <f>O41+O44</f>
        <v/>
      </c>
      <c r="P45" s="1">
        <f>P41+P44</f>
        <v/>
      </c>
      <c r="Q45" s="1">
        <f>Q41+Q44</f>
        <v/>
      </c>
      <c r="R45" s="1">
        <f>R41+R44</f>
        <v/>
      </c>
      <c r="S45" s="1">
        <f>S41+S44</f>
        <v/>
      </c>
      <c r="T45" s="1">
        <f>T41+T44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shivam khanna</dc:creator>
  <dcterms:created xsi:type="dcterms:W3CDTF">2026-05-16T22:30:23Z</dcterms:created>
  <dcterms:modified xsi:type="dcterms:W3CDTF">2026-06-22T20:14:34Z</dcterms:modified>
  <cp:lastModifiedBy>shivam khanna</cp:lastModifiedBy>
</cp:coreProperties>
</file>