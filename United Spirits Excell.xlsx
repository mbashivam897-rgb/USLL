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c19666c2af7fd2/Desktop/Annual Reports/United Spirits/"/>
    </mc:Choice>
  </mc:AlternateContent>
  <xr:revisionPtr revIDLastSave="57" documentId="13_ncr:1_{17CA19EC-3371-4577-84E2-774FFC208CFB}" xr6:coauthVersionLast="47" xr6:coauthVersionMax="47" xr10:uidLastSave="{54441606-52A0-43B0-A1E0-B769AADF7C7A}"/>
  <bookViews>
    <workbookView xWindow="-108" yWindow="-108" windowWidth="23256" windowHeight="12456" activeTab="1" xr2:uid="{D948F350-4EF9-46C0-B48F-AE753D475980}"/>
  </bookViews>
  <sheets>
    <sheet name="Scenarios" sheetId="11" r:id="rId1"/>
    <sheet name="PPT Sheet" sheetId="24" r:id="rId2"/>
    <sheet name="Valuation Summary" sheetId="20" r:id="rId3"/>
    <sheet name="Summary" sheetId="23" r:id="rId4"/>
    <sheet name="DCF" sheetId="18" r:id="rId5"/>
    <sheet name="Ratio Analysis" sheetId="21" r:id="rId6"/>
    <sheet name="PL" sheetId="5" r:id="rId7"/>
    <sheet name="BS" sheetId="15" r:id="rId8"/>
    <sheet name="CS" sheetId="17" r:id="rId9"/>
    <sheet name="Assumptions" sheetId="12" r:id="rId10"/>
    <sheet name="Working Capital Schedule" sheetId="16" r:id="rId11"/>
    <sheet name="Working Schedules" sheetId="14" r:id="rId12"/>
    <sheet name="Beta Calculation" sheetId="19" r:id="rId13"/>
    <sheet name="Company &amp; Market Insights" sheetId="9" r:id="rId14"/>
    <sheet name="Notes to accounts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21" l="1"/>
  <c r="N37" i="21"/>
  <c r="O37" i="21"/>
  <c r="M37" i="21"/>
  <c r="N34" i="21"/>
  <c r="M34" i="21"/>
  <c r="D31" i="21"/>
  <c r="E31" i="21"/>
  <c r="F31" i="21"/>
  <c r="G31" i="21"/>
  <c r="H31" i="21"/>
  <c r="I31" i="21"/>
  <c r="J31" i="21"/>
  <c r="K31" i="21"/>
  <c r="C31" i="21"/>
  <c r="D30" i="21"/>
  <c r="E30" i="21"/>
  <c r="F30" i="21"/>
  <c r="G30" i="21"/>
  <c r="H30" i="21"/>
  <c r="I30" i="21"/>
  <c r="J30" i="21"/>
  <c r="K30" i="21"/>
  <c r="C30" i="21"/>
  <c r="D29" i="21"/>
  <c r="E29" i="21"/>
  <c r="F29" i="21"/>
  <c r="G29" i="21"/>
  <c r="H29" i="21"/>
  <c r="I29" i="21"/>
  <c r="J29" i="21"/>
  <c r="K29" i="21"/>
  <c r="C29" i="21"/>
  <c r="D28" i="21"/>
  <c r="E28" i="21"/>
  <c r="F28" i="21"/>
  <c r="G28" i="21"/>
  <c r="H28" i="21"/>
  <c r="I28" i="21"/>
  <c r="J28" i="21"/>
  <c r="K28" i="21"/>
  <c r="C28" i="21"/>
  <c r="D37" i="21"/>
  <c r="E37" i="21"/>
  <c r="F37" i="21"/>
  <c r="G37" i="21"/>
  <c r="H37" i="21"/>
  <c r="I37" i="21"/>
  <c r="J37" i="21"/>
  <c r="K37" i="21"/>
  <c r="C37" i="21"/>
  <c r="D34" i="21"/>
  <c r="E34" i="21"/>
  <c r="F34" i="21"/>
  <c r="G34" i="21"/>
  <c r="H34" i="21"/>
  <c r="I34" i="21"/>
  <c r="J34" i="21"/>
  <c r="K34" i="21"/>
  <c r="L34" i="21"/>
  <c r="C34" i="21"/>
  <c r="E26" i="21"/>
  <c r="F26" i="21"/>
  <c r="G26" i="21"/>
  <c r="H26" i="21"/>
  <c r="I26" i="21"/>
  <c r="J26" i="21"/>
  <c r="K26" i="21"/>
  <c r="L26" i="21"/>
  <c r="D26" i="21"/>
  <c r="C26" i="21"/>
  <c r="E25" i="21"/>
  <c r="F25" i="21"/>
  <c r="G25" i="21"/>
  <c r="H25" i="21"/>
  <c r="I25" i="21"/>
  <c r="J25" i="21"/>
  <c r="K25" i="21"/>
  <c r="L25" i="21"/>
  <c r="D25" i="21"/>
  <c r="C25" i="21"/>
  <c r="E24" i="21"/>
  <c r="F24" i="21"/>
  <c r="G24" i="21"/>
  <c r="H24" i="21"/>
  <c r="I24" i="21"/>
  <c r="J24" i="21"/>
  <c r="K24" i="21"/>
  <c r="L24" i="21"/>
  <c r="D24" i="21"/>
  <c r="C24" i="21"/>
  <c r="E22" i="21"/>
  <c r="F22" i="21"/>
  <c r="G22" i="21"/>
  <c r="H22" i="21"/>
  <c r="I22" i="21"/>
  <c r="J22" i="21"/>
  <c r="K22" i="21"/>
  <c r="L22" i="21"/>
  <c r="D22" i="21"/>
  <c r="C22" i="21"/>
  <c r="E21" i="21"/>
  <c r="F21" i="21"/>
  <c r="G21" i="21"/>
  <c r="H21" i="21"/>
  <c r="I21" i="21"/>
  <c r="J21" i="21"/>
  <c r="K21" i="21"/>
  <c r="L21" i="21"/>
  <c r="D21" i="21"/>
  <c r="C21" i="21"/>
  <c r="D19" i="21"/>
  <c r="E19" i="21"/>
  <c r="F19" i="21"/>
  <c r="G19" i="21"/>
  <c r="H19" i="21"/>
  <c r="I19" i="21"/>
  <c r="J19" i="21"/>
  <c r="K19" i="21"/>
  <c r="L19" i="21"/>
  <c r="C19" i="21"/>
  <c r="D18" i="21"/>
  <c r="E18" i="21"/>
  <c r="F18" i="21"/>
  <c r="G18" i="21"/>
  <c r="H18" i="21"/>
  <c r="I18" i="21"/>
  <c r="J18" i="21"/>
  <c r="K18" i="21"/>
  <c r="L18" i="21"/>
  <c r="C18" i="21"/>
  <c r="C17" i="21"/>
  <c r="D17" i="21"/>
  <c r="E17" i="21"/>
  <c r="F17" i="21"/>
  <c r="G17" i="21"/>
  <c r="H17" i="21"/>
  <c r="I17" i="21"/>
  <c r="J17" i="21"/>
  <c r="K17" i="21"/>
  <c r="L17" i="21"/>
  <c r="D15" i="21"/>
  <c r="E15" i="21"/>
  <c r="F15" i="21"/>
  <c r="G15" i="21"/>
  <c r="H15" i="21"/>
  <c r="I15" i="21"/>
  <c r="J15" i="21"/>
  <c r="K15" i="21"/>
  <c r="L15" i="21"/>
  <c r="C15" i="21"/>
  <c r="D14" i="21"/>
  <c r="E14" i="21"/>
  <c r="F14" i="21"/>
  <c r="G14" i="21"/>
  <c r="H14" i="21"/>
  <c r="I14" i="21"/>
  <c r="J14" i="21"/>
  <c r="K14" i="21"/>
  <c r="L14" i="21"/>
  <c r="C14" i="21"/>
  <c r="C12" i="21"/>
  <c r="D12" i="21"/>
  <c r="E12" i="21"/>
  <c r="F12" i="21"/>
  <c r="G12" i="21"/>
  <c r="H12" i="21"/>
  <c r="I12" i="21"/>
  <c r="J12" i="21"/>
  <c r="K12" i="21"/>
  <c r="L12" i="21"/>
  <c r="D4" i="5"/>
  <c r="E11" i="21"/>
  <c r="F11" i="21"/>
  <c r="G11" i="21"/>
  <c r="H11" i="21"/>
  <c r="I11" i="21"/>
  <c r="J11" i="21"/>
  <c r="K11" i="21"/>
  <c r="L11" i="21"/>
  <c r="D11" i="21"/>
  <c r="C11" i="21"/>
  <c r="D10" i="21"/>
  <c r="E10" i="21"/>
  <c r="F10" i="21"/>
  <c r="G10" i="21"/>
  <c r="H10" i="21"/>
  <c r="I10" i="21"/>
  <c r="J10" i="21"/>
  <c r="K10" i="21"/>
  <c r="L10" i="21"/>
  <c r="C10" i="21"/>
  <c r="D9" i="21"/>
  <c r="E9" i="21"/>
  <c r="F9" i="21"/>
  <c r="G9" i="21"/>
  <c r="H9" i="21"/>
  <c r="I9" i="21"/>
  <c r="J9" i="21"/>
  <c r="K9" i="21"/>
  <c r="L9" i="21"/>
  <c r="C9" i="21"/>
  <c r="D8" i="21"/>
  <c r="E8" i="21"/>
  <c r="F8" i="21"/>
  <c r="G8" i="21"/>
  <c r="H8" i="21"/>
  <c r="I8" i="21"/>
  <c r="J8" i="21"/>
  <c r="K8" i="21"/>
  <c r="L8" i="21"/>
  <c r="C8" i="21"/>
  <c r="D7" i="21"/>
  <c r="E7" i="21"/>
  <c r="F7" i="21"/>
  <c r="G7" i="21"/>
  <c r="H7" i="21"/>
  <c r="I7" i="21"/>
  <c r="J7" i="21"/>
  <c r="K7" i="21"/>
  <c r="L7" i="21"/>
  <c r="C7" i="21"/>
  <c r="D4" i="21"/>
  <c r="T2" i="5"/>
  <c r="E13" i="20"/>
  <c r="S18" i="18"/>
  <c r="C25" i="18"/>
  <c r="D40" i="14"/>
  <c r="E40" i="14"/>
  <c r="F40" i="14"/>
  <c r="G40" i="14"/>
  <c r="C40" i="14"/>
  <c r="Q6" i="18"/>
  <c r="C24" i="18"/>
  <c r="G66" i="14"/>
  <c r="H80" i="14"/>
  <c r="H82" i="14"/>
  <c r="H88" i="14"/>
  <c r="G80" i="14"/>
  <c r="E13" i="18"/>
  <c r="F13" i="18"/>
  <c r="G13" i="18"/>
  <c r="H13" i="18"/>
  <c r="I13" i="18"/>
  <c r="J13" i="18"/>
  <c r="D13" i="18"/>
  <c r="G4" i="18"/>
  <c r="H4" i="18"/>
  <c r="I4" i="18"/>
  <c r="J4" i="18"/>
  <c r="G7" i="18"/>
  <c r="H7" i="18"/>
  <c r="I7" i="18"/>
  <c r="J7" i="18"/>
  <c r="Q4" i="17"/>
  <c r="R4" i="17"/>
  <c r="L31" i="14"/>
  <c r="M31" i="14"/>
  <c r="N31" i="14"/>
  <c r="O31" i="14"/>
  <c r="L32" i="14"/>
  <c r="M32" i="14"/>
  <c r="N32" i="14"/>
  <c r="O32" i="14"/>
  <c r="Q4" i="16"/>
  <c r="I4" i="12"/>
  <c r="L10" i="11"/>
  <c r="M10" i="11"/>
  <c r="N10" i="11"/>
  <c r="O10" i="11"/>
  <c r="L17" i="11"/>
  <c r="L19" i="11"/>
  <c r="M19" i="11"/>
  <c r="N19" i="11"/>
  <c r="O19" i="11"/>
  <c r="L8" i="11"/>
  <c r="J45" i="20"/>
  <c r="J33" i="20"/>
  <c r="J16" i="20"/>
  <c r="J15" i="20"/>
  <c r="J14" i="20"/>
  <c r="H26" i="20"/>
  <c r="H25" i="20"/>
  <c r="H24" i="20"/>
  <c r="J26" i="20"/>
  <c r="F26" i="20"/>
  <c r="G26" i="20"/>
  <c r="E26" i="20"/>
  <c r="J25" i="20"/>
  <c r="F25" i="20"/>
  <c r="G25" i="20"/>
  <c r="E25" i="20"/>
  <c r="J24" i="20"/>
  <c r="F24" i="20"/>
  <c r="G24" i="20"/>
  <c r="E24" i="20"/>
  <c r="J10" i="20"/>
  <c r="J20" i="20"/>
  <c r="D18" i="16"/>
  <c r="E18" i="16"/>
  <c r="F18" i="16"/>
  <c r="G18" i="16"/>
  <c r="H18" i="16"/>
  <c r="I18" i="16"/>
  <c r="J18" i="16"/>
  <c r="K18" i="16"/>
  <c r="L18" i="16"/>
  <c r="C18" i="16"/>
  <c r="N20" i="18"/>
  <c r="P18" i="18"/>
  <c r="H9" i="14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5" i="19"/>
  <c r="D19" i="17"/>
  <c r="E19" i="17"/>
  <c r="F19" i="17"/>
  <c r="G19" i="17"/>
  <c r="H19" i="17"/>
  <c r="I19" i="17"/>
  <c r="J19" i="17"/>
  <c r="K19" i="17"/>
  <c r="L19" i="17"/>
  <c r="C19" i="17"/>
  <c r="C14" i="17"/>
  <c r="D7" i="18"/>
  <c r="E7" i="18"/>
  <c r="F7" i="18"/>
  <c r="C7" i="18"/>
  <c r="D4" i="18"/>
  <c r="C23" i="15"/>
  <c r="D14" i="17"/>
  <c r="E14" i="17"/>
  <c r="F14" i="17"/>
  <c r="G14" i="17"/>
  <c r="H14" i="17"/>
  <c r="I14" i="17"/>
  <c r="J14" i="17"/>
  <c r="K14" i="17"/>
  <c r="L14" i="17"/>
  <c r="M18" i="5"/>
  <c r="D7" i="17"/>
  <c r="E7" i="17"/>
  <c r="F7" i="17"/>
  <c r="G7" i="17"/>
  <c r="H7" i="17"/>
  <c r="I7" i="17"/>
  <c r="J7" i="17"/>
  <c r="K7" i="17"/>
  <c r="L7" i="17"/>
  <c r="C7" i="17"/>
  <c r="C23" i="13"/>
  <c r="C44" i="15"/>
  <c r="D4" i="17"/>
  <c r="M42" i="15"/>
  <c r="D12" i="16"/>
  <c r="E12" i="16"/>
  <c r="F12" i="16"/>
  <c r="G12" i="16"/>
  <c r="H12" i="16"/>
  <c r="I12" i="16"/>
  <c r="J12" i="16"/>
  <c r="K12" i="16"/>
  <c r="L12" i="16"/>
  <c r="C12" i="16"/>
  <c r="D9" i="16"/>
  <c r="E9" i="16"/>
  <c r="F9" i="16"/>
  <c r="G9" i="16"/>
  <c r="H9" i="16"/>
  <c r="I9" i="16"/>
  <c r="J9" i="16"/>
  <c r="K9" i="16"/>
  <c r="L9" i="16"/>
  <c r="C9" i="16"/>
  <c r="D44" i="15"/>
  <c r="E44" i="15"/>
  <c r="F44" i="15"/>
  <c r="G44" i="15"/>
  <c r="H44" i="15"/>
  <c r="I44" i="15"/>
  <c r="J44" i="15"/>
  <c r="K44" i="15"/>
  <c r="L44" i="15"/>
  <c r="D35" i="15"/>
  <c r="E35" i="15"/>
  <c r="F35" i="15"/>
  <c r="G35" i="15"/>
  <c r="H35" i="15"/>
  <c r="I35" i="15"/>
  <c r="J35" i="15"/>
  <c r="K35" i="15"/>
  <c r="L35" i="15"/>
  <c r="C35" i="15"/>
  <c r="M34" i="15"/>
  <c r="D15" i="16"/>
  <c r="E15" i="16"/>
  <c r="F15" i="16"/>
  <c r="G15" i="16"/>
  <c r="H15" i="16"/>
  <c r="I15" i="16"/>
  <c r="J15" i="16"/>
  <c r="K15" i="16"/>
  <c r="L15" i="16"/>
  <c r="C15" i="16"/>
  <c r="D4" i="16"/>
  <c r="M14" i="15"/>
  <c r="M13" i="15"/>
  <c r="M8" i="15"/>
  <c r="M20" i="15"/>
  <c r="C7" i="14"/>
  <c r="D23" i="15"/>
  <c r="E23" i="15"/>
  <c r="F23" i="15"/>
  <c r="G23" i="15"/>
  <c r="H23" i="15"/>
  <c r="I23" i="15"/>
  <c r="J23" i="15"/>
  <c r="K23" i="15"/>
  <c r="L23" i="15"/>
  <c r="D16" i="15"/>
  <c r="E16" i="15"/>
  <c r="F16" i="15"/>
  <c r="G16" i="15"/>
  <c r="H16" i="15"/>
  <c r="I16" i="15"/>
  <c r="J16" i="15"/>
  <c r="K16" i="15"/>
  <c r="L16" i="15"/>
  <c r="C16" i="15"/>
  <c r="D10" i="15"/>
  <c r="E10" i="15"/>
  <c r="F10" i="15"/>
  <c r="G10" i="15"/>
  <c r="H10" i="15"/>
  <c r="I10" i="15"/>
  <c r="J10" i="15"/>
  <c r="K10" i="15"/>
  <c r="L10" i="15"/>
  <c r="C10" i="15"/>
  <c r="D4" i="15"/>
  <c r="C79" i="14"/>
  <c r="D74" i="14"/>
  <c r="G40" i="13"/>
  <c r="I32" i="14"/>
  <c r="J32" i="14"/>
  <c r="K32" i="14"/>
  <c r="H32" i="14"/>
  <c r="D31" i="14"/>
  <c r="E31" i="14"/>
  <c r="F31" i="14"/>
  <c r="G31" i="14"/>
  <c r="H31" i="14"/>
  <c r="I31" i="14"/>
  <c r="J31" i="14"/>
  <c r="K31" i="14"/>
  <c r="C31" i="14"/>
  <c r="D30" i="14"/>
  <c r="E30" i="14"/>
  <c r="F30" i="14"/>
  <c r="G30" i="14"/>
  <c r="C30" i="14"/>
  <c r="D28" i="14"/>
  <c r="C19" i="14"/>
  <c r="D15" i="14"/>
  <c r="F23" i="13"/>
  <c r="E23" i="13"/>
  <c r="E24" i="13"/>
  <c r="D24" i="13"/>
  <c r="G24" i="13"/>
  <c r="E8" i="14"/>
  <c r="D86" i="14"/>
  <c r="C65" i="14"/>
  <c r="G45" i="13"/>
  <c r="C44" i="14"/>
  <c r="C55" i="14"/>
  <c r="G38" i="13"/>
  <c r="D38" i="14"/>
  <c r="I45" i="13"/>
  <c r="I46" i="13"/>
  <c r="I44" i="13"/>
  <c r="D41" i="13"/>
  <c r="E41" i="13"/>
  <c r="F41" i="13"/>
  <c r="C41" i="13"/>
  <c r="D60" i="14"/>
  <c r="E60" i="14" s="1"/>
  <c r="F60" i="14" s="1"/>
  <c r="G60" i="14" s="1"/>
  <c r="H60" i="14" s="1"/>
  <c r="I60" i="14" s="1"/>
  <c r="J60" i="14" s="1"/>
  <c r="K60" i="14" s="1"/>
  <c r="D49" i="14"/>
  <c r="E49" i="14" s="1"/>
  <c r="F49" i="14" s="1"/>
  <c r="G49" i="14" s="1"/>
  <c r="H49" i="14" s="1"/>
  <c r="I49" i="14" s="1"/>
  <c r="J49" i="14" s="1"/>
  <c r="K49" i="14" s="1"/>
  <c r="D5" i="14"/>
  <c r="E5" i="14" s="1"/>
  <c r="F5" i="14" s="1"/>
  <c r="G5" i="14" s="1"/>
  <c r="H5" i="14" s="1"/>
  <c r="I5" i="14" s="1"/>
  <c r="J5" i="14" s="1"/>
  <c r="K5" i="14" s="1"/>
  <c r="D37" i="13"/>
  <c r="E37" i="13" s="1"/>
  <c r="F37" i="13" s="1"/>
  <c r="G37" i="13" s="1"/>
  <c r="D34" i="13"/>
  <c r="E34" i="13"/>
  <c r="F34" i="13"/>
  <c r="C34" i="13"/>
  <c r="D30" i="13"/>
  <c r="E30" i="13" s="1"/>
  <c r="F30" i="13" s="1"/>
  <c r="G30" i="13" s="1"/>
  <c r="D19" i="13"/>
  <c r="D23" i="13" s="1"/>
  <c r="C19" i="13"/>
  <c r="G23" i="13"/>
  <c r="E19" i="13"/>
  <c r="F19" i="13"/>
  <c r="D4" i="13"/>
  <c r="E4" i="13" s="1"/>
  <c r="F4" i="13" s="1"/>
  <c r="G4" i="13" s="1"/>
  <c r="G11" i="5"/>
  <c r="F4" i="12"/>
  <c r="P37" i="21" l="1"/>
  <c r="Q37" i="21" s="1"/>
  <c r="R37" i="21" s="1"/>
  <c r="S37" i="21" s="1"/>
  <c r="T37" i="21" s="1"/>
  <c r="O34" i="21"/>
  <c r="P34" i="21" s="1"/>
  <c r="Q34" i="21" s="1"/>
  <c r="R34" i="21" s="1"/>
  <c r="S34" i="21" s="1"/>
  <c r="T34" i="21" s="1"/>
  <c r="C13" i="20"/>
  <c r="H23" i="20" s="1"/>
  <c r="L37" i="21"/>
  <c r="D13" i="20" s="1"/>
  <c r="E4" i="21"/>
  <c r="F4" i="21" s="1"/>
  <c r="G4" i="21" s="1"/>
  <c r="H4" i="21" s="1"/>
  <c r="I4" i="21" s="1"/>
  <c r="J4" i="21" s="1"/>
  <c r="K4" i="21" s="1"/>
  <c r="L4" i="21" s="1"/>
  <c r="M4" i="21" s="1"/>
  <c r="N4" i="21" s="1"/>
  <c r="O4" i="21" s="1"/>
  <c r="P4" i="21" s="1"/>
  <c r="Q4" i="21" s="1"/>
  <c r="R4" i="21" s="1"/>
  <c r="S4" i="21" s="1"/>
  <c r="T4" i="21" s="1"/>
  <c r="O2" i="14"/>
  <c r="J2" i="18"/>
  <c r="T2" i="16"/>
  <c r="M2" i="20"/>
  <c r="T2" i="15"/>
  <c r="T2" i="17" s="1"/>
  <c r="S4" i="17"/>
  <c r="T4" i="17" s="1"/>
  <c r="L5" i="14"/>
  <c r="L49" i="14"/>
  <c r="L60" i="14"/>
  <c r="M5" i="14"/>
  <c r="N5" i="14" s="1"/>
  <c r="M49" i="14"/>
  <c r="N49" i="14" s="1"/>
  <c r="O49" i="14" s="1"/>
  <c r="M60" i="14"/>
  <c r="N60" i="14" s="1"/>
  <c r="O60" i="14" s="1"/>
  <c r="R4" i="16"/>
  <c r="S4" i="16" s="1"/>
  <c r="T4" i="16" s="1"/>
  <c r="J4" i="12"/>
  <c r="K4" i="12" s="1"/>
  <c r="L4" i="12" s="1"/>
  <c r="I9" i="14"/>
  <c r="M17" i="11"/>
  <c r="N17" i="11" s="1"/>
  <c r="O17" i="11" s="1"/>
  <c r="M8" i="11"/>
  <c r="N8" i="11" s="1"/>
  <c r="O8" i="11" s="1"/>
  <c r="L14" i="20"/>
  <c r="K16" i="20"/>
  <c r="K14" i="20"/>
  <c r="K24" i="20" s="1"/>
  <c r="L15" i="20"/>
  <c r="K15" i="20"/>
  <c r="K25" i="20" s="1"/>
  <c r="E29" i="20"/>
  <c r="E48" i="20" s="1"/>
  <c r="E51" i="20" s="1"/>
  <c r="E53" i="20" s="1"/>
  <c r="J28" i="20"/>
  <c r="F29" i="20"/>
  <c r="H28" i="20"/>
  <c r="M15" i="20"/>
  <c r="G29" i="20"/>
  <c r="E28" i="20"/>
  <c r="E36" i="20" s="1"/>
  <c r="E39" i="20" s="1"/>
  <c r="M14" i="20"/>
  <c r="H29" i="20"/>
  <c r="G28" i="20"/>
  <c r="J29" i="20"/>
  <c r="F28" i="20"/>
  <c r="M16" i="20"/>
  <c r="L16" i="20"/>
  <c r="L26" i="20" s="1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N21" i="18"/>
  <c r="N22" i="18" s="1"/>
  <c r="N23" i="18" s="1"/>
  <c r="N24" i="18" s="1"/>
  <c r="N25" i="18" s="1"/>
  <c r="N26" i="18" s="1"/>
  <c r="Q18" i="18"/>
  <c r="R18" i="18" s="1"/>
  <c r="Q8" i="18"/>
  <c r="Q9" i="18" s="1"/>
  <c r="I3" i="19"/>
  <c r="O3" i="19"/>
  <c r="C6" i="19" s="1"/>
  <c r="C7" i="19" s="1"/>
  <c r="E4" i="18"/>
  <c r="F4" i="18" s="1"/>
  <c r="M15" i="17"/>
  <c r="C24" i="13"/>
  <c r="G19" i="16"/>
  <c r="L19" i="16"/>
  <c r="E19" i="16"/>
  <c r="J19" i="16"/>
  <c r="H19" i="16"/>
  <c r="C19" i="16"/>
  <c r="C20" i="16" s="1"/>
  <c r="D19" i="16"/>
  <c r="I19" i="16"/>
  <c r="K19" i="16"/>
  <c r="F19" i="16"/>
  <c r="E4" i="17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F37" i="15"/>
  <c r="K37" i="15"/>
  <c r="C37" i="15"/>
  <c r="G37" i="15"/>
  <c r="I37" i="15"/>
  <c r="H37" i="15"/>
  <c r="J37" i="15"/>
  <c r="L37" i="15"/>
  <c r="L46" i="15" s="1"/>
  <c r="L49" i="15" s="1"/>
  <c r="H46" i="15"/>
  <c r="F46" i="15"/>
  <c r="J46" i="15"/>
  <c r="G46" i="15"/>
  <c r="K46" i="15"/>
  <c r="L7" i="16"/>
  <c r="C7" i="16"/>
  <c r="N42" i="15"/>
  <c r="E37" i="15"/>
  <c r="D37" i="15"/>
  <c r="N34" i="15"/>
  <c r="N14" i="15"/>
  <c r="N13" i="15"/>
  <c r="N20" i="15"/>
  <c r="E4" i="16"/>
  <c r="N8" i="15"/>
  <c r="D25" i="15"/>
  <c r="K25" i="15"/>
  <c r="E25" i="15"/>
  <c r="G25" i="15"/>
  <c r="L25" i="15"/>
  <c r="F25" i="15"/>
  <c r="H25" i="15"/>
  <c r="C25" i="15"/>
  <c r="J25" i="15"/>
  <c r="I25" i="15"/>
  <c r="E4" i="15"/>
  <c r="F4" i="15" s="1"/>
  <c r="D76" i="14"/>
  <c r="C81" i="14"/>
  <c r="E74" i="14"/>
  <c r="F74" i="14" s="1"/>
  <c r="G74" i="14" s="1"/>
  <c r="D79" i="14"/>
  <c r="D33" i="14"/>
  <c r="C33" i="14"/>
  <c r="F33" i="14"/>
  <c r="G33" i="14"/>
  <c r="E33" i="14"/>
  <c r="E28" i="14"/>
  <c r="F28" i="14" s="1"/>
  <c r="G28" i="14" s="1"/>
  <c r="H28" i="14" s="1"/>
  <c r="I28" i="14" s="1"/>
  <c r="J28" i="14" s="1"/>
  <c r="K28" i="14" s="1"/>
  <c r="L28" i="14" s="1"/>
  <c r="M28" i="14" s="1"/>
  <c r="N28" i="14" s="1"/>
  <c r="O28" i="14" s="1"/>
  <c r="D17" i="14"/>
  <c r="D19" i="14" s="1"/>
  <c r="E15" i="14"/>
  <c r="F15" i="14" s="1"/>
  <c r="G15" i="14" s="1"/>
  <c r="H15" i="14" s="1"/>
  <c r="I15" i="14" s="1"/>
  <c r="J15" i="14" s="1"/>
  <c r="K15" i="14" s="1"/>
  <c r="L15" i="14" s="1"/>
  <c r="M15" i="14" s="1"/>
  <c r="N15" i="14" s="1"/>
  <c r="O15" i="14" s="1"/>
  <c r="C10" i="14"/>
  <c r="E86" i="14"/>
  <c r="F86" i="14" s="1"/>
  <c r="D62" i="14"/>
  <c r="D65" i="14" s="1"/>
  <c r="E62" i="14" s="1"/>
  <c r="E65" i="14" s="1"/>
  <c r="C67" i="14"/>
  <c r="D41" i="14"/>
  <c r="D51" i="14"/>
  <c r="F46" i="13"/>
  <c r="E45" i="13"/>
  <c r="D46" i="13"/>
  <c r="E44" i="13"/>
  <c r="D44" i="13"/>
  <c r="C46" i="13"/>
  <c r="G26" i="13"/>
  <c r="F45" i="13"/>
  <c r="E46" i="13"/>
  <c r="D45" i="13"/>
  <c r="F44" i="13"/>
  <c r="C45" i="13"/>
  <c r="G39" i="13" s="1"/>
  <c r="C44" i="13"/>
  <c r="G44" i="13" s="1"/>
  <c r="D27" i="13"/>
  <c r="G4" i="12"/>
  <c r="H4" i="12" s="1"/>
  <c r="E38" i="14"/>
  <c r="F38" i="14" s="1"/>
  <c r="G38" i="14" s="1"/>
  <c r="H38" i="14" s="1"/>
  <c r="I38" i="14" s="1"/>
  <c r="J38" i="14" s="1"/>
  <c r="K38" i="14" s="1"/>
  <c r="L38" i="14" s="1"/>
  <c r="M38" i="14" s="1"/>
  <c r="N38" i="14" s="1"/>
  <c r="O38" i="14" s="1"/>
  <c r="D26" i="13"/>
  <c r="C26" i="13"/>
  <c r="I8" i="11"/>
  <c r="J8" i="11" s="1"/>
  <c r="K8" i="11" s="1"/>
  <c r="I17" i="11"/>
  <c r="J17" i="11" s="1"/>
  <c r="K17" i="11" s="1"/>
  <c r="K19" i="11"/>
  <c r="J19" i="11"/>
  <c r="I19" i="11"/>
  <c r="H19" i="11"/>
  <c r="K10" i="11"/>
  <c r="J10" i="11"/>
  <c r="I10" i="11"/>
  <c r="H10" i="11"/>
  <c r="M5" i="5" s="1"/>
  <c r="M29" i="21" l="1"/>
  <c r="G23" i="20"/>
  <c r="F23" i="20"/>
  <c r="E23" i="20"/>
  <c r="L29" i="21"/>
  <c r="L30" i="21"/>
  <c r="L28" i="21"/>
  <c r="H40" i="14"/>
  <c r="H63" i="14" s="1"/>
  <c r="J13" i="20"/>
  <c r="J36" i="20" s="1"/>
  <c r="K49" i="15"/>
  <c r="O8" i="15"/>
  <c r="H49" i="15"/>
  <c r="J49" i="15"/>
  <c r="G49" i="15"/>
  <c r="C46" i="15"/>
  <c r="I46" i="15"/>
  <c r="I49" i="15" s="1"/>
  <c r="F49" i="15"/>
  <c r="N5" i="5"/>
  <c r="O5" i="14"/>
  <c r="J9" i="14"/>
  <c r="K9" i="14" s="1"/>
  <c r="L9" i="14" s="1"/>
  <c r="L25" i="20"/>
  <c r="L24" i="20"/>
  <c r="K26" i="20"/>
  <c r="K28" i="20"/>
  <c r="E41" i="20"/>
  <c r="M26" i="20"/>
  <c r="M25" i="20"/>
  <c r="M24" i="20"/>
  <c r="K29" i="20"/>
  <c r="L29" i="20"/>
  <c r="L28" i="20"/>
  <c r="N27" i="18"/>
  <c r="V18" i="18"/>
  <c r="W18" i="18" s="1"/>
  <c r="N15" i="17"/>
  <c r="D20" i="16"/>
  <c r="D21" i="16" s="1"/>
  <c r="D9" i="17" s="1"/>
  <c r="O34" i="15"/>
  <c r="P34" i="15" s="1"/>
  <c r="Q34" i="15" s="1"/>
  <c r="R34" i="15" s="1"/>
  <c r="S34" i="15" s="1"/>
  <c r="O14" i="15"/>
  <c r="P14" i="15" s="1"/>
  <c r="Q14" i="15" s="1"/>
  <c r="R14" i="15" s="1"/>
  <c r="S14" i="15" s="1"/>
  <c r="T14" i="15" s="1"/>
  <c r="O13" i="15"/>
  <c r="O20" i="15"/>
  <c r="P20" i="15" s="1"/>
  <c r="Q20" i="15" s="1"/>
  <c r="R20" i="15" s="1"/>
  <c r="S20" i="15" s="1"/>
  <c r="T20" i="15" s="1"/>
  <c r="C49" i="15"/>
  <c r="L20" i="16"/>
  <c r="E20" i="16"/>
  <c r="E21" i="16" s="1"/>
  <c r="E9" i="17" s="1"/>
  <c r="I20" i="16"/>
  <c r="H20" i="16"/>
  <c r="F20" i="16"/>
  <c r="K20" i="16"/>
  <c r="G20" i="16"/>
  <c r="J20" i="16"/>
  <c r="E46" i="15"/>
  <c r="E49" i="15" s="1"/>
  <c r="D46" i="15"/>
  <c r="D49" i="15" s="1"/>
  <c r="L13" i="16"/>
  <c r="O42" i="15"/>
  <c r="L16" i="16"/>
  <c r="F4" i="16"/>
  <c r="G4" i="16" s="1"/>
  <c r="H4" i="16" s="1"/>
  <c r="I4" i="16" s="1"/>
  <c r="J4" i="16" s="1"/>
  <c r="K4" i="16" s="1"/>
  <c r="P13" i="15"/>
  <c r="Q13" i="15" s="1"/>
  <c r="R13" i="15" s="1"/>
  <c r="S13" i="15" s="1"/>
  <c r="P8" i="15"/>
  <c r="Q8" i="15" s="1"/>
  <c r="R8" i="15" s="1"/>
  <c r="S8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D81" i="14"/>
  <c r="E76" i="14"/>
  <c r="E79" i="14" s="1"/>
  <c r="F76" i="14" s="1"/>
  <c r="H74" i="14"/>
  <c r="I74" i="14" s="1"/>
  <c r="J74" i="14" s="1"/>
  <c r="K74" i="14" s="1"/>
  <c r="L74" i="14" s="1"/>
  <c r="M74" i="14" s="1"/>
  <c r="N74" i="14" s="1"/>
  <c r="O74" i="14" s="1"/>
  <c r="C22" i="14"/>
  <c r="E17" i="14"/>
  <c r="E19" i="14" s="1"/>
  <c r="D7" i="14"/>
  <c r="D10" i="14" s="1"/>
  <c r="D22" i="14" s="1"/>
  <c r="D67" i="14"/>
  <c r="D55" i="14"/>
  <c r="E51" i="14" s="1"/>
  <c r="E67" i="14"/>
  <c r="F62" i="14"/>
  <c r="F65" i="14" s="1"/>
  <c r="G86" i="14"/>
  <c r="H86" i="14" s="1"/>
  <c r="I86" i="14" s="1"/>
  <c r="J86" i="14" s="1"/>
  <c r="K86" i="14" s="1"/>
  <c r="L86" i="14" s="1"/>
  <c r="M86" i="14" s="1"/>
  <c r="N86" i="14" s="1"/>
  <c r="O86" i="14" s="1"/>
  <c r="D44" i="14"/>
  <c r="E41" i="14" s="1"/>
  <c r="E44" i="14" s="1"/>
  <c r="F41" i="14" s="1"/>
  <c r="G46" i="13"/>
  <c r="E26" i="13"/>
  <c r="E27" i="13"/>
  <c r="F26" i="13"/>
  <c r="F27" i="13"/>
  <c r="G27" i="13"/>
  <c r="F24" i="13"/>
  <c r="C13" i="9"/>
  <c r="E9" i="9"/>
  <c r="D9" i="9"/>
  <c r="N9" i="9"/>
  <c r="M9" i="9"/>
  <c r="L9" i="9"/>
  <c r="K9" i="9"/>
  <c r="J9" i="9"/>
  <c r="I9" i="9"/>
  <c r="H9" i="9"/>
  <c r="G9" i="9"/>
  <c r="F9" i="9"/>
  <c r="E7" i="9"/>
  <c r="F7" i="9"/>
  <c r="G7" i="9"/>
  <c r="H7" i="9"/>
  <c r="I7" i="9"/>
  <c r="J7" i="9"/>
  <c r="K7" i="9"/>
  <c r="L7" i="9"/>
  <c r="M7" i="9"/>
  <c r="N7" i="9"/>
  <c r="D7" i="9"/>
  <c r="N10" i="9"/>
  <c r="M10" i="9"/>
  <c r="L10" i="9"/>
  <c r="K10" i="9"/>
  <c r="J10" i="9"/>
  <c r="I10" i="9"/>
  <c r="H10" i="9"/>
  <c r="G10" i="9"/>
  <c r="F10" i="9"/>
  <c r="E10" i="9"/>
  <c r="D10" i="9"/>
  <c r="C10" i="9"/>
  <c r="D4" i="9"/>
  <c r="E4" i="9" s="1"/>
  <c r="F4" i="9" s="1"/>
  <c r="G4" i="9" s="1"/>
  <c r="H4" i="9" s="1"/>
  <c r="I4" i="9" s="1"/>
  <c r="J4" i="9" s="1"/>
  <c r="K4" i="9" s="1"/>
  <c r="L4" i="9" s="1"/>
  <c r="M4" i="9" s="1"/>
  <c r="N4" i="9" s="1"/>
  <c r="L6" i="16"/>
  <c r="L10" i="16" s="1"/>
  <c r="I40" i="14" l="1"/>
  <c r="N29" i="21"/>
  <c r="O5" i="5"/>
  <c r="J39" i="20"/>
  <c r="J41" i="20" s="1"/>
  <c r="J48" i="20"/>
  <c r="J51" i="20" s="1"/>
  <c r="J53" i="20" s="1"/>
  <c r="J23" i="20"/>
  <c r="M9" i="14"/>
  <c r="Q15" i="17"/>
  <c r="T34" i="15"/>
  <c r="T8" i="15"/>
  <c r="T13" i="15"/>
  <c r="M29" i="20"/>
  <c r="M28" i="20"/>
  <c r="O15" i="17"/>
  <c r="J21" i="16"/>
  <c r="J9" i="17" s="1"/>
  <c r="F21" i="16"/>
  <c r="F9" i="17" s="1"/>
  <c r="I21" i="16"/>
  <c r="I9" i="17" s="1"/>
  <c r="H21" i="16"/>
  <c r="H9" i="17" s="1"/>
  <c r="G21" i="16"/>
  <c r="G9" i="17" s="1"/>
  <c r="K21" i="16"/>
  <c r="K9" i="17" s="1"/>
  <c r="L21" i="16"/>
  <c r="L9" i="17" s="1"/>
  <c r="P42" i="15"/>
  <c r="Q42" i="15" s="1"/>
  <c r="R42" i="15" s="1"/>
  <c r="S42" i="15" s="1"/>
  <c r="T42" i="15" s="1"/>
  <c r="D6" i="16"/>
  <c r="D10" i="16" s="1"/>
  <c r="E6" i="16"/>
  <c r="E10" i="16" s="1"/>
  <c r="F6" i="16"/>
  <c r="F10" i="16" s="1"/>
  <c r="G52" i="14"/>
  <c r="G6" i="16"/>
  <c r="G10" i="16" s="1"/>
  <c r="H6" i="16"/>
  <c r="H10" i="16" s="1"/>
  <c r="I6" i="16"/>
  <c r="I10" i="16" s="1"/>
  <c r="J6" i="16"/>
  <c r="J10" i="16" s="1"/>
  <c r="K6" i="16"/>
  <c r="K10" i="16" s="1"/>
  <c r="C6" i="16"/>
  <c r="L4" i="16"/>
  <c r="M4" i="16" s="1"/>
  <c r="N4" i="16" s="1"/>
  <c r="O4" i="16" s="1"/>
  <c r="P4" i="16" s="1"/>
  <c r="F79" i="14"/>
  <c r="E81" i="14"/>
  <c r="F17" i="14"/>
  <c r="F19" i="14" s="1"/>
  <c r="E7" i="14"/>
  <c r="E55" i="14"/>
  <c r="F51" i="14" s="1"/>
  <c r="F67" i="14"/>
  <c r="G62" i="14"/>
  <c r="G65" i="14" s="1"/>
  <c r="F44" i="14"/>
  <c r="G41" i="14" s="1"/>
  <c r="G44" i="14" s="1"/>
  <c r="H41" i="14" s="1"/>
  <c r="I11" i="9"/>
  <c r="H11" i="9"/>
  <c r="K11" i="9"/>
  <c r="J11" i="9"/>
  <c r="D11" i="9"/>
  <c r="F11" i="9"/>
  <c r="G11" i="9"/>
  <c r="L11" i="9"/>
  <c r="E11" i="9"/>
  <c r="M11" i="9"/>
  <c r="N11" i="9"/>
  <c r="P5" i="5" l="1"/>
  <c r="J40" i="14"/>
  <c r="O29" i="21"/>
  <c r="R15" i="17"/>
  <c r="N9" i="14"/>
  <c r="P15" i="17"/>
  <c r="G76" i="14"/>
  <c r="G79" i="14" s="1"/>
  <c r="F81" i="14"/>
  <c r="H90" i="14"/>
  <c r="H52" i="14"/>
  <c r="H89" i="14"/>
  <c r="H91" i="14" s="1"/>
  <c r="H42" i="14"/>
  <c r="C10" i="18" s="1"/>
  <c r="I42" i="14"/>
  <c r="D10" i="18" s="1"/>
  <c r="I63" i="14"/>
  <c r="I52" i="14"/>
  <c r="M6" i="5"/>
  <c r="M22" i="15"/>
  <c r="M6" i="16"/>
  <c r="M9" i="16" s="1"/>
  <c r="M21" i="15"/>
  <c r="G17" i="14"/>
  <c r="G19" i="14" s="1"/>
  <c r="E10" i="14"/>
  <c r="F55" i="14"/>
  <c r="G51" i="14" s="1"/>
  <c r="H62" i="14"/>
  <c r="M10" i="5"/>
  <c r="M9" i="5"/>
  <c r="E7" i="16"/>
  <c r="F7" i="16"/>
  <c r="G7" i="16"/>
  <c r="I7" i="16"/>
  <c r="J7" i="16"/>
  <c r="K7" i="16"/>
  <c r="C7" i="5"/>
  <c r="M7" i="16" l="1"/>
  <c r="Q5" i="5"/>
  <c r="K40" i="14"/>
  <c r="J42" i="14"/>
  <c r="E10" i="18" s="1"/>
  <c r="J52" i="14"/>
  <c r="J63" i="14"/>
  <c r="P29" i="21"/>
  <c r="H99" i="14"/>
  <c r="S15" i="17"/>
  <c r="O9" i="14"/>
  <c r="T15" i="17" s="1"/>
  <c r="I90" i="14"/>
  <c r="M11" i="5"/>
  <c r="M12" i="17"/>
  <c r="N12" i="17"/>
  <c r="H65" i="14"/>
  <c r="M7" i="5"/>
  <c r="H8" i="14"/>
  <c r="H43" i="14"/>
  <c r="H77" i="14"/>
  <c r="I77" i="14"/>
  <c r="I43" i="14"/>
  <c r="I89" i="14" s="1"/>
  <c r="I92" i="14" s="1"/>
  <c r="J92" i="14" s="1"/>
  <c r="K92" i="14" s="1"/>
  <c r="L92" i="14" s="1"/>
  <c r="M92" i="14" s="1"/>
  <c r="N92" i="14" s="1"/>
  <c r="O92" i="14" s="1"/>
  <c r="I8" i="14"/>
  <c r="M10" i="16"/>
  <c r="M40" i="15"/>
  <c r="M24" i="21" s="1"/>
  <c r="N21" i="15"/>
  <c r="N6" i="16"/>
  <c r="N9" i="16" s="1"/>
  <c r="N22" i="15"/>
  <c r="D7" i="5"/>
  <c r="D7" i="16"/>
  <c r="E16" i="16"/>
  <c r="E13" i="16"/>
  <c r="F13" i="16"/>
  <c r="F16" i="16"/>
  <c r="G13" i="16"/>
  <c r="G16" i="16"/>
  <c r="H7" i="5"/>
  <c r="H7" i="16"/>
  <c r="I13" i="16"/>
  <c r="I16" i="16"/>
  <c r="J16" i="16"/>
  <c r="J13" i="16"/>
  <c r="K13" i="16"/>
  <c r="K16" i="16"/>
  <c r="H76" i="14"/>
  <c r="H17" i="14"/>
  <c r="H19" i="14" s="1"/>
  <c r="F7" i="14"/>
  <c r="F10" i="14" s="1"/>
  <c r="F22" i="14" s="1"/>
  <c r="E22" i="14"/>
  <c r="G55" i="14"/>
  <c r="N10" i="5"/>
  <c r="N9" i="5"/>
  <c r="N6" i="5"/>
  <c r="F7" i="5"/>
  <c r="E7" i="5"/>
  <c r="K7" i="5"/>
  <c r="I7" i="5"/>
  <c r="G7" i="5"/>
  <c r="J7" i="5"/>
  <c r="K11" i="5"/>
  <c r="C11" i="5"/>
  <c r="H11" i="5"/>
  <c r="L11" i="5"/>
  <c r="D11" i="5"/>
  <c r="J11" i="5"/>
  <c r="I11" i="5"/>
  <c r="F11" i="5"/>
  <c r="E11" i="5"/>
  <c r="L7" i="5"/>
  <c r="M15" i="16" l="1"/>
  <c r="M12" i="16"/>
  <c r="M7" i="21"/>
  <c r="O12" i="17"/>
  <c r="Q6" i="16"/>
  <c r="L40" i="14"/>
  <c r="Q29" i="21"/>
  <c r="Q22" i="15"/>
  <c r="R5" i="5"/>
  <c r="Q6" i="5"/>
  <c r="Q21" i="15"/>
  <c r="Q9" i="5"/>
  <c r="Q10" i="5"/>
  <c r="K42" i="14"/>
  <c r="K63" i="14"/>
  <c r="K52" i="14"/>
  <c r="K8" i="14" s="1"/>
  <c r="J77" i="14"/>
  <c r="J43" i="14"/>
  <c r="J89" i="14" s="1"/>
  <c r="J93" i="14" s="1"/>
  <c r="K93" i="14" s="1"/>
  <c r="L93" i="14" s="1"/>
  <c r="M93" i="14" s="1"/>
  <c r="N93" i="14" s="1"/>
  <c r="O93" i="14" s="1"/>
  <c r="J8" i="14"/>
  <c r="H66" i="14"/>
  <c r="M12" i="5"/>
  <c r="J90" i="14"/>
  <c r="I62" i="14"/>
  <c r="I91" i="14"/>
  <c r="I99" i="14" s="1"/>
  <c r="N40" i="15"/>
  <c r="D16" i="16"/>
  <c r="D13" i="16"/>
  <c r="H16" i="16"/>
  <c r="H13" i="16"/>
  <c r="H44" i="14"/>
  <c r="N10" i="16"/>
  <c r="O6" i="16"/>
  <c r="O9" i="16" s="1"/>
  <c r="O22" i="15"/>
  <c r="O21" i="15"/>
  <c r="N7" i="5"/>
  <c r="N7" i="16"/>
  <c r="H79" i="14"/>
  <c r="G7" i="14"/>
  <c r="G10" i="14" s="1"/>
  <c r="G22" i="14" s="1"/>
  <c r="I17" i="14"/>
  <c r="I19" i="14" s="1"/>
  <c r="O6" i="5"/>
  <c r="H51" i="14"/>
  <c r="H53" i="14" s="1"/>
  <c r="H70" i="14" s="1"/>
  <c r="N11" i="5"/>
  <c r="O10" i="5"/>
  <c r="O9" i="5"/>
  <c r="G12" i="5"/>
  <c r="K12" i="5"/>
  <c r="K14" i="5" s="1"/>
  <c r="K19" i="5" s="1"/>
  <c r="K22" i="5" s="1"/>
  <c r="H12" i="5"/>
  <c r="H14" i="5" s="1"/>
  <c r="H19" i="5" s="1"/>
  <c r="H22" i="5" s="1"/>
  <c r="C12" i="5"/>
  <c r="C14" i="5" s="1"/>
  <c r="E12" i="5"/>
  <c r="E14" i="5" s="1"/>
  <c r="E19" i="5" s="1"/>
  <c r="E22" i="5" s="1"/>
  <c r="D12" i="5"/>
  <c r="D14" i="5" s="1"/>
  <c r="F12" i="5"/>
  <c r="F14" i="5" s="1"/>
  <c r="F19" i="5" s="1"/>
  <c r="F22" i="5" s="1"/>
  <c r="I12" i="5"/>
  <c r="I14" i="5" s="1"/>
  <c r="I19" i="5" s="1"/>
  <c r="I22" i="5" s="1"/>
  <c r="J12" i="5"/>
  <c r="J14" i="5" s="1"/>
  <c r="J19" i="5" s="1"/>
  <c r="J22" i="5" s="1"/>
  <c r="L12" i="5"/>
  <c r="M13" i="16" l="1"/>
  <c r="M19" i="15"/>
  <c r="M16" i="16"/>
  <c r="M41" i="15"/>
  <c r="M28" i="21"/>
  <c r="N7" i="21"/>
  <c r="O7" i="16"/>
  <c r="M23" i="15"/>
  <c r="M19" i="16" s="1"/>
  <c r="M25" i="21"/>
  <c r="M18" i="16"/>
  <c r="L42" i="14"/>
  <c r="L52" i="14"/>
  <c r="L8" i="14" s="1"/>
  <c r="L63" i="14"/>
  <c r="L89" i="14" s="1"/>
  <c r="L95" i="14" s="1"/>
  <c r="M95" i="14" s="1"/>
  <c r="N95" i="14" s="1"/>
  <c r="O95" i="14" s="1"/>
  <c r="S5" i="5"/>
  <c r="R21" i="15"/>
  <c r="R9" i="5"/>
  <c r="R6" i="16"/>
  <c r="R6" i="5"/>
  <c r="R10" i="5"/>
  <c r="R29" i="21"/>
  <c r="M40" i="14"/>
  <c r="R22" i="15"/>
  <c r="Q7" i="5"/>
  <c r="Q7" i="16"/>
  <c r="P12" i="17"/>
  <c r="K43" i="14"/>
  <c r="K89" i="14" s="1"/>
  <c r="K94" i="14" s="1"/>
  <c r="L94" i="14" s="1"/>
  <c r="M94" i="14" s="1"/>
  <c r="N94" i="14" s="1"/>
  <c r="O94" i="14" s="1"/>
  <c r="K77" i="14"/>
  <c r="F10" i="18"/>
  <c r="Q11" i="5"/>
  <c r="N24" i="21"/>
  <c r="K13" i="20"/>
  <c r="M8" i="21"/>
  <c r="L14" i="5"/>
  <c r="F13" i="20"/>
  <c r="H67" i="14"/>
  <c r="M30" i="15" s="1"/>
  <c r="I65" i="14"/>
  <c r="J62" i="14" s="1"/>
  <c r="I88" i="14"/>
  <c r="J91" i="14"/>
  <c r="J99" i="14" s="1"/>
  <c r="K90" i="14"/>
  <c r="N12" i="5"/>
  <c r="M31" i="15"/>
  <c r="I41" i="14"/>
  <c r="I44" i="14" s="1"/>
  <c r="O40" i="15"/>
  <c r="N15" i="16"/>
  <c r="N12" i="16"/>
  <c r="O10" i="16"/>
  <c r="P6" i="16"/>
  <c r="P9" i="16" s="1"/>
  <c r="P21" i="15"/>
  <c r="P22" i="15"/>
  <c r="O7" i="5"/>
  <c r="H81" i="14"/>
  <c r="H7" i="14"/>
  <c r="J17" i="14"/>
  <c r="J19" i="14" s="1"/>
  <c r="C19" i="5"/>
  <c r="C22" i="5" s="1"/>
  <c r="C6" i="17" s="1"/>
  <c r="C10" i="17" s="1"/>
  <c r="C20" i="17" s="1"/>
  <c r="D19" i="5"/>
  <c r="D22" i="5" s="1"/>
  <c r="D6" i="17" s="1"/>
  <c r="D10" i="17" s="1"/>
  <c r="D20" i="17" s="1"/>
  <c r="G14" i="5"/>
  <c r="G19" i="5" s="1"/>
  <c r="G22" i="5" s="1"/>
  <c r="O11" i="5"/>
  <c r="P10" i="5"/>
  <c r="P9" i="5"/>
  <c r="P6" i="5"/>
  <c r="M26" i="21" l="1"/>
  <c r="O24" i="21"/>
  <c r="M20" i="16"/>
  <c r="O7" i="21"/>
  <c r="K48" i="20"/>
  <c r="K51" i="20" s="1"/>
  <c r="K53" i="20" s="1"/>
  <c r="K36" i="20"/>
  <c r="K39" i="20" s="1"/>
  <c r="K41" i="20" s="1"/>
  <c r="S6" i="20"/>
  <c r="U6" i="20" s="1"/>
  <c r="K23" i="20"/>
  <c r="L43" i="14"/>
  <c r="G10" i="18"/>
  <c r="Q12" i="17"/>
  <c r="L77" i="14"/>
  <c r="S29" i="21"/>
  <c r="S6" i="16"/>
  <c r="T5" i="5"/>
  <c r="S6" i="5"/>
  <c r="S21" i="15"/>
  <c r="S9" i="5"/>
  <c r="S10" i="5"/>
  <c r="S22" i="15"/>
  <c r="N40" i="14"/>
  <c r="R7" i="5"/>
  <c r="R7" i="16"/>
  <c r="M63" i="14"/>
  <c r="M89" i="14" s="1"/>
  <c r="M96" i="14" s="1"/>
  <c r="N96" i="14" s="1"/>
  <c r="O96" i="14" s="1"/>
  <c r="M52" i="14"/>
  <c r="M8" i="14" s="1"/>
  <c r="M42" i="14"/>
  <c r="Q7" i="21"/>
  <c r="Q12" i="5"/>
  <c r="R11" i="5"/>
  <c r="N8" i="21"/>
  <c r="N28" i="21"/>
  <c r="G13" i="20"/>
  <c r="L19" i="5"/>
  <c r="L22" i="5" s="1"/>
  <c r="H13" i="20" s="1"/>
  <c r="F36" i="20"/>
  <c r="F39" i="20" s="1"/>
  <c r="F41" i="20" s="1"/>
  <c r="F48" i="20"/>
  <c r="F51" i="20" s="1"/>
  <c r="F53" i="20" s="1"/>
  <c r="J88" i="14"/>
  <c r="J65" i="14"/>
  <c r="K62" i="14" s="1"/>
  <c r="O15" i="16"/>
  <c r="Q9" i="16"/>
  <c r="L90" i="14"/>
  <c r="K91" i="14"/>
  <c r="I66" i="14"/>
  <c r="C22" i="17"/>
  <c r="D21" i="17" s="1"/>
  <c r="O12" i="16"/>
  <c r="O12" i="5"/>
  <c r="H6" i="17"/>
  <c r="H10" i="17" s="1"/>
  <c r="H20" i="17" s="1"/>
  <c r="E6" i="17"/>
  <c r="E10" i="17" s="1"/>
  <c r="E20" i="17" s="1"/>
  <c r="F6" i="17"/>
  <c r="F10" i="17" s="1"/>
  <c r="F20" i="17" s="1"/>
  <c r="J41" i="14"/>
  <c r="J44" i="14" s="1"/>
  <c r="N31" i="15"/>
  <c r="N16" i="16"/>
  <c r="N19" i="15"/>
  <c r="N13" i="16"/>
  <c r="N41" i="15"/>
  <c r="P40" i="15"/>
  <c r="P10" i="16"/>
  <c r="P7" i="5"/>
  <c r="P7" i="16"/>
  <c r="H10" i="14"/>
  <c r="H11" i="14" s="1"/>
  <c r="H30" i="14" s="1"/>
  <c r="J6" i="17"/>
  <c r="J10" i="17" s="1"/>
  <c r="J20" i="17" s="1"/>
  <c r="I6" i="17"/>
  <c r="I10" i="17" s="1"/>
  <c r="I20" i="17" s="1"/>
  <c r="K17" i="14"/>
  <c r="K19" i="14" s="1"/>
  <c r="L17" i="14" s="1"/>
  <c r="L19" i="14" s="1"/>
  <c r="K6" i="17"/>
  <c r="K10" i="17" s="1"/>
  <c r="K20" i="17" s="1"/>
  <c r="L6" i="17"/>
  <c r="L10" i="17" s="1"/>
  <c r="L20" i="17" s="1"/>
  <c r="M13" i="5"/>
  <c r="G6" i="17"/>
  <c r="G10" i="17" s="1"/>
  <c r="G20" i="17" s="1"/>
  <c r="P11" i="5"/>
  <c r="P7" i="21" l="1"/>
  <c r="O16" i="16"/>
  <c r="S11" i="5"/>
  <c r="T10" i="5"/>
  <c r="T29" i="21"/>
  <c r="O40" i="14"/>
  <c r="T21" i="15"/>
  <c r="T9" i="5"/>
  <c r="T22" i="15"/>
  <c r="T6" i="5"/>
  <c r="T6" i="16"/>
  <c r="S7" i="5"/>
  <c r="S7" i="16"/>
  <c r="N63" i="14"/>
  <c r="N89" i="14" s="1"/>
  <c r="N97" i="14" s="1"/>
  <c r="O97" i="14" s="1"/>
  <c r="N52" i="14"/>
  <c r="N8" i="14" s="1"/>
  <c r="N42" i="14"/>
  <c r="R12" i="5"/>
  <c r="R7" i="21"/>
  <c r="R12" i="17"/>
  <c r="M77" i="14"/>
  <c r="H10" i="18"/>
  <c r="M43" i="14"/>
  <c r="Q28" i="21"/>
  <c r="Q8" i="21"/>
  <c r="O8" i="21"/>
  <c r="O28" i="21"/>
  <c r="N23" i="15"/>
  <c r="N19" i="16" s="1"/>
  <c r="N25" i="21"/>
  <c r="N18" i="16"/>
  <c r="N26" i="21"/>
  <c r="P24" i="21"/>
  <c r="O19" i="15"/>
  <c r="G36" i="20"/>
  <c r="G39" i="20" s="1"/>
  <c r="G41" i="20" s="1"/>
  <c r="G48" i="20"/>
  <c r="G51" i="20" s="1"/>
  <c r="G53" i="20" s="1"/>
  <c r="H48" i="20"/>
  <c r="H53" i="20" s="1"/>
  <c r="H36" i="20"/>
  <c r="H41" i="20" s="1"/>
  <c r="K88" i="14"/>
  <c r="K65" i="14"/>
  <c r="L62" i="14" s="1"/>
  <c r="M90" i="14"/>
  <c r="R9" i="16"/>
  <c r="Q40" i="15"/>
  <c r="Q10" i="16"/>
  <c r="K99" i="14"/>
  <c r="N90" i="14"/>
  <c r="L91" i="14"/>
  <c r="L99" i="14" s="1"/>
  <c r="M17" i="14"/>
  <c r="M19" i="14" s="1"/>
  <c r="J66" i="14"/>
  <c r="I67" i="14"/>
  <c r="M7" i="17"/>
  <c r="C9" i="18"/>
  <c r="D22" i="17"/>
  <c r="E21" i="17" s="1"/>
  <c r="M14" i="5"/>
  <c r="O13" i="16"/>
  <c r="O41" i="15"/>
  <c r="P12" i="5"/>
  <c r="O31" i="15"/>
  <c r="K41" i="14"/>
  <c r="K44" i="14" s="1"/>
  <c r="P15" i="16"/>
  <c r="P12" i="16"/>
  <c r="I7" i="14"/>
  <c r="H22" i="14"/>
  <c r="M15" i="15" s="1"/>
  <c r="H33" i="14"/>
  <c r="M17" i="5" s="1"/>
  <c r="H55" i="14"/>
  <c r="M32" i="15" s="1"/>
  <c r="T11" i="5" l="1"/>
  <c r="O26" i="21"/>
  <c r="T7" i="16"/>
  <c r="M30" i="21"/>
  <c r="M19" i="21"/>
  <c r="M16" i="15"/>
  <c r="Q24" i="21"/>
  <c r="O25" i="21"/>
  <c r="T7" i="5"/>
  <c r="O42" i="14"/>
  <c r="O52" i="14"/>
  <c r="O8" i="14" s="1"/>
  <c r="O63" i="14"/>
  <c r="O89" i="14" s="1"/>
  <c r="O98" i="14" s="1"/>
  <c r="S7" i="21"/>
  <c r="S12" i="5"/>
  <c r="N43" i="14"/>
  <c r="S12" i="17"/>
  <c r="N77" i="14"/>
  <c r="I10" i="18"/>
  <c r="R28" i="21"/>
  <c r="R8" i="21"/>
  <c r="O23" i="15"/>
  <c r="O19" i="16" s="1"/>
  <c r="O18" i="16"/>
  <c r="P8" i="21"/>
  <c r="P28" i="21"/>
  <c r="M9" i="21"/>
  <c r="R10" i="16"/>
  <c r="C6" i="18"/>
  <c r="C8" i="18" s="1"/>
  <c r="L13" i="20"/>
  <c r="S8" i="20" s="1"/>
  <c r="U8" i="20" s="1"/>
  <c r="L88" i="14"/>
  <c r="L65" i="14"/>
  <c r="M62" i="14" s="1"/>
  <c r="S9" i="16"/>
  <c r="R40" i="15"/>
  <c r="Q15" i="16"/>
  <c r="Q12" i="16"/>
  <c r="K66" i="14"/>
  <c r="J67" i="14"/>
  <c r="O90" i="14"/>
  <c r="M91" i="14"/>
  <c r="M99" i="14" s="1"/>
  <c r="N17" i="14"/>
  <c r="N19" i="14" s="1"/>
  <c r="P31" i="15"/>
  <c r="L41" i="14"/>
  <c r="L44" i="14" s="1"/>
  <c r="N30" i="15"/>
  <c r="M16" i="17"/>
  <c r="M8" i="17"/>
  <c r="E22" i="17"/>
  <c r="F21" i="17" s="1"/>
  <c r="M19" i="5"/>
  <c r="P16" i="16"/>
  <c r="P19" i="15"/>
  <c r="P13" i="16"/>
  <c r="P41" i="15"/>
  <c r="I10" i="14"/>
  <c r="I22" i="14" s="1"/>
  <c r="N15" i="15" s="1"/>
  <c r="I51" i="14"/>
  <c r="I53" i="14" s="1"/>
  <c r="P26" i="21" l="1"/>
  <c r="P25" i="21"/>
  <c r="T7" i="21"/>
  <c r="T12" i="5"/>
  <c r="T8" i="21"/>
  <c r="T28" i="21"/>
  <c r="O43" i="14"/>
  <c r="O77" i="14"/>
  <c r="T12" i="17"/>
  <c r="J10" i="18"/>
  <c r="S28" i="21"/>
  <c r="S8" i="21"/>
  <c r="R24" i="21"/>
  <c r="P23" i="15"/>
  <c r="P19" i="16" s="1"/>
  <c r="P18" i="16"/>
  <c r="N16" i="15"/>
  <c r="L48" i="20"/>
  <c r="L51" i="20" s="1"/>
  <c r="L53" i="20" s="1"/>
  <c r="L36" i="20"/>
  <c r="L39" i="20" s="1"/>
  <c r="L41" i="20" s="1"/>
  <c r="L23" i="20"/>
  <c r="M88" i="14"/>
  <c r="M65" i="14"/>
  <c r="N62" i="14" s="1"/>
  <c r="S10" i="16"/>
  <c r="L66" i="14"/>
  <c r="M41" i="14"/>
  <c r="M44" i="14" s="1"/>
  <c r="Q31" i="15"/>
  <c r="T9" i="16"/>
  <c r="T40" i="15" s="1"/>
  <c r="S40" i="15"/>
  <c r="R15" i="16"/>
  <c r="Q19" i="15"/>
  <c r="R12" i="16"/>
  <c r="Q41" i="15"/>
  <c r="Q16" i="16"/>
  <c r="Q13" i="16"/>
  <c r="K67" i="14"/>
  <c r="O30" i="15"/>
  <c r="N91" i="14"/>
  <c r="N99" i="14" s="1"/>
  <c r="O17" i="14"/>
  <c r="O19" i="14" s="1"/>
  <c r="F22" i="17"/>
  <c r="G21" i="17" s="1"/>
  <c r="G22" i="17" s="1"/>
  <c r="H21" i="17" s="1"/>
  <c r="M20" i="5"/>
  <c r="J7" i="14"/>
  <c r="I11" i="14"/>
  <c r="I30" i="14" s="1"/>
  <c r="I33" i="14" s="1"/>
  <c r="N17" i="5" s="1"/>
  <c r="N16" i="17" s="1"/>
  <c r="I55" i="14"/>
  <c r="N32" i="15" s="1"/>
  <c r="M33" i="15"/>
  <c r="M35" i="15" s="1"/>
  <c r="M22" i="21" s="1"/>
  <c r="I76" i="14"/>
  <c r="I82" i="14" s="1"/>
  <c r="T24" i="21" l="1"/>
  <c r="Q26" i="21"/>
  <c r="Q25" i="21"/>
  <c r="S24" i="21"/>
  <c r="Q23" i="15"/>
  <c r="Q19" i="16" s="1"/>
  <c r="Q18" i="16"/>
  <c r="R16" i="16"/>
  <c r="N88" i="14"/>
  <c r="N65" i="14"/>
  <c r="O62" i="14" s="1"/>
  <c r="N41" i="14"/>
  <c r="N44" i="14" s="1"/>
  <c r="R31" i="15"/>
  <c r="I70" i="14"/>
  <c r="N13" i="5" s="1"/>
  <c r="I80" i="14"/>
  <c r="T10" i="16"/>
  <c r="R13" i="16"/>
  <c r="L67" i="14"/>
  <c r="S15" i="16"/>
  <c r="R19" i="15"/>
  <c r="S12" i="16"/>
  <c r="R41" i="15"/>
  <c r="P30" i="15"/>
  <c r="M66" i="14"/>
  <c r="O91" i="14"/>
  <c r="O99" i="14" s="1"/>
  <c r="H22" i="17"/>
  <c r="I21" i="17" s="1"/>
  <c r="I22" i="17" s="1"/>
  <c r="J21" i="17" s="1"/>
  <c r="J22" i="17" s="1"/>
  <c r="K21" i="17" s="1"/>
  <c r="K22" i="17" s="1"/>
  <c r="M22" i="5"/>
  <c r="J10" i="14"/>
  <c r="J22" i="14" s="1"/>
  <c r="O15" i="15" s="1"/>
  <c r="J51" i="14"/>
  <c r="J53" i="14" s="1"/>
  <c r="I79" i="14"/>
  <c r="M31" i="21" l="1"/>
  <c r="R26" i="21"/>
  <c r="Q20" i="16"/>
  <c r="R25" i="21"/>
  <c r="R23" i="15"/>
  <c r="R19" i="16" s="1"/>
  <c r="R18" i="16"/>
  <c r="O16" i="15"/>
  <c r="M10" i="21"/>
  <c r="M9" i="15"/>
  <c r="M13" i="20"/>
  <c r="O88" i="14"/>
  <c r="O65" i="14"/>
  <c r="S31" i="15"/>
  <c r="O41" i="14"/>
  <c r="O44" i="14" s="1"/>
  <c r="T31" i="15" s="1"/>
  <c r="S16" i="16"/>
  <c r="Q30" i="15"/>
  <c r="J55" i="14"/>
  <c r="S13" i="16"/>
  <c r="T15" i="16"/>
  <c r="T19" i="15" s="1"/>
  <c r="T23" i="15" s="1"/>
  <c r="T19" i="16" s="1"/>
  <c r="S19" i="15"/>
  <c r="T12" i="16"/>
  <c r="T41" i="15" s="1"/>
  <c r="T18" i="16" s="1"/>
  <c r="S41" i="15"/>
  <c r="N66" i="14"/>
  <c r="M67" i="14"/>
  <c r="N7" i="17"/>
  <c r="D9" i="18"/>
  <c r="L21" i="17"/>
  <c r="M6" i="17"/>
  <c r="M17" i="17"/>
  <c r="M19" i="17" s="1"/>
  <c r="N14" i="5"/>
  <c r="J11" i="14"/>
  <c r="J30" i="14" s="1"/>
  <c r="J33" i="14" s="1"/>
  <c r="O17" i="5" s="1"/>
  <c r="O16" i="17" s="1"/>
  <c r="K7" i="14"/>
  <c r="I81" i="14"/>
  <c r="N33" i="15" s="1"/>
  <c r="N35" i="15" s="1"/>
  <c r="J76" i="14"/>
  <c r="J82" i="14" s="1"/>
  <c r="M48" i="20" l="1"/>
  <c r="S7" i="20"/>
  <c r="M23" i="20"/>
  <c r="S26" i="21"/>
  <c r="R20" i="16"/>
  <c r="R21" i="16" s="1"/>
  <c r="S25" i="21"/>
  <c r="S23" i="15"/>
  <c r="S19" i="16" s="1"/>
  <c r="T25" i="21"/>
  <c r="S18" i="16"/>
  <c r="T26" i="21"/>
  <c r="N19" i="21"/>
  <c r="N30" i="21"/>
  <c r="N22" i="21"/>
  <c r="D6" i="18"/>
  <c r="D8" i="18" s="1"/>
  <c r="N9" i="21"/>
  <c r="T13" i="16"/>
  <c r="M36" i="20"/>
  <c r="M41" i="20" s="1"/>
  <c r="J80" i="14"/>
  <c r="J70" i="14"/>
  <c r="O13" i="5" s="1"/>
  <c r="T16" i="16"/>
  <c r="K51" i="14"/>
  <c r="K53" i="14" s="1"/>
  <c r="O32" i="15"/>
  <c r="T20" i="16"/>
  <c r="R30" i="15"/>
  <c r="N67" i="14"/>
  <c r="O66" i="14"/>
  <c r="O67" i="14" s="1"/>
  <c r="T30" i="15" s="1"/>
  <c r="L22" i="17"/>
  <c r="M21" i="17" s="1"/>
  <c r="M11" i="17" s="1"/>
  <c r="M14" i="17" s="1"/>
  <c r="K10" i="14"/>
  <c r="L7" i="14" s="1"/>
  <c r="L10" i="14" s="1"/>
  <c r="J79" i="14"/>
  <c r="U7" i="20" l="1"/>
  <c r="M53" i="20"/>
  <c r="R9" i="17"/>
  <c r="S20" i="16"/>
  <c r="S21" i="16" s="1"/>
  <c r="H11" i="18"/>
  <c r="K55" i="14"/>
  <c r="S30" i="15"/>
  <c r="L22" i="14"/>
  <c r="Q15" i="15" s="1"/>
  <c r="L11" i="14"/>
  <c r="L30" i="14" s="1"/>
  <c r="L33" i="14" s="1"/>
  <c r="Q17" i="5" s="1"/>
  <c r="Q16" i="17" s="1"/>
  <c r="M7" i="14"/>
  <c r="M10" i="14" s="1"/>
  <c r="O7" i="17"/>
  <c r="E9" i="18"/>
  <c r="O14" i="5"/>
  <c r="K11" i="14"/>
  <c r="K30" i="14" s="1"/>
  <c r="K33" i="14" s="1"/>
  <c r="P17" i="5" s="1"/>
  <c r="P16" i="17" s="1"/>
  <c r="K22" i="14"/>
  <c r="P15" i="15" s="1"/>
  <c r="J81" i="14"/>
  <c r="O33" i="15" s="1"/>
  <c r="O35" i="15" s="1"/>
  <c r="K76" i="14"/>
  <c r="K82" i="14" s="1"/>
  <c r="T21" i="16" l="1"/>
  <c r="I11" i="18"/>
  <c r="S9" i="17"/>
  <c r="Q16" i="15"/>
  <c r="O19" i="21"/>
  <c r="O30" i="21"/>
  <c r="P16" i="15"/>
  <c r="O22" i="21"/>
  <c r="E6" i="18"/>
  <c r="E8" i="18" s="1"/>
  <c r="O9" i="21"/>
  <c r="K80" i="14"/>
  <c r="K70" i="14"/>
  <c r="L51" i="14"/>
  <c r="L53" i="14" s="1"/>
  <c r="P32" i="15"/>
  <c r="M22" i="14"/>
  <c r="R15" i="15" s="1"/>
  <c r="M11" i="14"/>
  <c r="M30" i="14" s="1"/>
  <c r="M33" i="14" s="1"/>
  <c r="R17" i="5" s="1"/>
  <c r="R16" i="17" s="1"/>
  <c r="N7" i="14"/>
  <c r="N10" i="14" s="1"/>
  <c r="M10" i="15"/>
  <c r="M17" i="21" s="1"/>
  <c r="K79" i="14"/>
  <c r="L76" i="14" s="1"/>
  <c r="L82" i="14" s="1"/>
  <c r="J11" i="18" l="1"/>
  <c r="T9" i="17"/>
  <c r="R16" i="15"/>
  <c r="M25" i="15"/>
  <c r="M11" i="21"/>
  <c r="L80" i="14"/>
  <c r="L70" i="14"/>
  <c r="L55" i="14"/>
  <c r="N22" i="14"/>
  <c r="S15" i="15" s="1"/>
  <c r="N11" i="14"/>
  <c r="N30" i="14" s="1"/>
  <c r="N33" i="14" s="1"/>
  <c r="S17" i="5" s="1"/>
  <c r="S16" i="17" s="1"/>
  <c r="O7" i="14"/>
  <c r="O10" i="14" s="1"/>
  <c r="L79" i="14"/>
  <c r="P13" i="5"/>
  <c r="S16" i="15" l="1"/>
  <c r="Q32" i="15"/>
  <c r="M51" i="14"/>
  <c r="M53" i="14" s="1"/>
  <c r="M55" i="14" s="1"/>
  <c r="Q13" i="5"/>
  <c r="O22" i="14"/>
  <c r="T15" i="15" s="1"/>
  <c r="O11" i="14"/>
  <c r="O30" i="14" s="1"/>
  <c r="O33" i="14" s="1"/>
  <c r="T17" i="5" s="1"/>
  <c r="T16" i="17" s="1"/>
  <c r="M76" i="14"/>
  <c r="M82" i="14" s="1"/>
  <c r="K81" i="14"/>
  <c r="P33" i="15" s="1"/>
  <c r="P35" i="15" s="1"/>
  <c r="P7" i="17"/>
  <c r="F9" i="18"/>
  <c r="P14" i="5"/>
  <c r="T16" i="15" l="1"/>
  <c r="P22" i="21"/>
  <c r="P19" i="21"/>
  <c r="P30" i="21"/>
  <c r="F6" i="18"/>
  <c r="F8" i="18" s="1"/>
  <c r="P9" i="21"/>
  <c r="Q14" i="5"/>
  <c r="G9" i="18"/>
  <c r="N51" i="14"/>
  <c r="N53" i="14" s="1"/>
  <c r="R32" i="15"/>
  <c r="Q7" i="17"/>
  <c r="M80" i="14"/>
  <c r="M70" i="14"/>
  <c r="L81" i="14"/>
  <c r="Q33" i="15" s="1"/>
  <c r="Q35" i="15" s="1"/>
  <c r="M79" i="14"/>
  <c r="M21" i="16"/>
  <c r="M9" i="17" s="1"/>
  <c r="Q22" i="21" l="1"/>
  <c r="Q19" i="21"/>
  <c r="Q30" i="21"/>
  <c r="G6" i="18"/>
  <c r="G8" i="18" s="1"/>
  <c r="Q9" i="21"/>
  <c r="N55" i="14"/>
  <c r="N76" i="14"/>
  <c r="N82" i="14" s="1"/>
  <c r="R13" i="5"/>
  <c r="C11" i="18"/>
  <c r="C12" i="18" s="1"/>
  <c r="C15" i="18" s="1"/>
  <c r="M10" i="17"/>
  <c r="M20" i="17" s="1"/>
  <c r="M22" i="17" s="1"/>
  <c r="M43" i="15" s="1"/>
  <c r="M18" i="21" l="1"/>
  <c r="S32" i="15"/>
  <c r="O51" i="14"/>
  <c r="O53" i="14" s="1"/>
  <c r="N80" i="14"/>
  <c r="N70" i="14"/>
  <c r="R14" i="5"/>
  <c r="H9" i="18"/>
  <c r="R7" i="17"/>
  <c r="N79" i="14"/>
  <c r="M81" i="14"/>
  <c r="R33" i="15" s="1"/>
  <c r="R35" i="15" s="1"/>
  <c r="M44" i="15"/>
  <c r="N18" i="5"/>
  <c r="N8" i="17" s="1"/>
  <c r="N21" i="17"/>
  <c r="N11" i="17" s="1"/>
  <c r="N14" i="17" s="1"/>
  <c r="M36" i="15" l="1"/>
  <c r="M37" i="15" s="1"/>
  <c r="M15" i="21"/>
  <c r="M14" i="21"/>
  <c r="R19" i="21"/>
  <c r="R30" i="21"/>
  <c r="R22" i="21"/>
  <c r="H6" i="18"/>
  <c r="H8" i="18" s="1"/>
  <c r="R9" i="21"/>
  <c r="O55" i="14"/>
  <c r="T32" i="15" s="1"/>
  <c r="O76" i="14"/>
  <c r="O82" i="14" s="1"/>
  <c r="S13" i="5"/>
  <c r="N19" i="5"/>
  <c r="M46" i="15" l="1"/>
  <c r="H12" i="18"/>
  <c r="H15" i="18" s="1"/>
  <c r="O80" i="14"/>
  <c r="O70" i="14"/>
  <c r="S14" i="5"/>
  <c r="S7" i="17"/>
  <c r="I9" i="18"/>
  <c r="O79" i="14"/>
  <c r="N81" i="14"/>
  <c r="S33" i="15" s="1"/>
  <c r="S35" i="15" s="1"/>
  <c r="N20" i="5"/>
  <c r="M21" i="21" l="1"/>
  <c r="M49" i="15"/>
  <c r="M12" i="21"/>
  <c r="S19" i="21"/>
  <c r="S30" i="21"/>
  <c r="S22" i="21"/>
  <c r="I6" i="18"/>
  <c r="I8" i="18" s="1"/>
  <c r="S9" i="21"/>
  <c r="O81" i="14"/>
  <c r="T33" i="15" s="1"/>
  <c r="T35" i="15" s="1"/>
  <c r="T13" i="5"/>
  <c r="N22" i="5"/>
  <c r="N31" i="21" l="1"/>
  <c r="T22" i="21"/>
  <c r="I12" i="18"/>
  <c r="I15" i="18" s="1"/>
  <c r="N9" i="15"/>
  <c r="N10" i="21"/>
  <c r="T14" i="5"/>
  <c r="T7" i="17"/>
  <c r="J9" i="18"/>
  <c r="N17" i="17"/>
  <c r="N19" i="17" s="1"/>
  <c r="N6" i="17"/>
  <c r="O20" i="16"/>
  <c r="T19" i="21" l="1"/>
  <c r="T30" i="21"/>
  <c r="J6" i="18"/>
  <c r="J8" i="18" s="1"/>
  <c r="T9" i="21"/>
  <c r="J12" i="18" l="1"/>
  <c r="C19" i="18" s="1"/>
  <c r="C20" i="18" s="1"/>
  <c r="C21" i="18" s="1"/>
  <c r="N20" i="16"/>
  <c r="J15" i="18" l="1"/>
  <c r="N10" i="15"/>
  <c r="N17" i="21" s="1"/>
  <c r="N21" i="16"/>
  <c r="O21" i="16"/>
  <c r="N25" i="15" l="1"/>
  <c r="N11" i="21"/>
  <c r="D11" i="18"/>
  <c r="D12" i="18" s="1"/>
  <c r="D15" i="18" s="1"/>
  <c r="N9" i="17"/>
  <c r="N10" i="17" s="1"/>
  <c r="N20" i="17" s="1"/>
  <c r="N22" i="17" s="1"/>
  <c r="O9" i="17"/>
  <c r="E11" i="18"/>
  <c r="E12" i="18" s="1"/>
  <c r="E15" i="18" s="1"/>
  <c r="P20" i="16"/>
  <c r="P21" i="16" l="1"/>
  <c r="Q21" i="16"/>
  <c r="N43" i="15"/>
  <c r="N18" i="21" s="1"/>
  <c r="O21" i="17"/>
  <c r="O11" i="17" s="1"/>
  <c r="O14" i="17" s="1"/>
  <c r="P9" i="17" l="1"/>
  <c r="F11" i="18"/>
  <c r="F12" i="18" s="1"/>
  <c r="G11" i="18"/>
  <c r="G12" i="18" s="1"/>
  <c r="G15" i="18" s="1"/>
  <c r="Q9" i="17"/>
  <c r="O18" i="5"/>
  <c r="N44" i="15"/>
  <c r="N36" i="15" l="1"/>
  <c r="N37" i="15" s="1"/>
  <c r="N46" i="15" s="1"/>
  <c r="N15" i="21"/>
  <c r="N14" i="21"/>
  <c r="F15" i="18"/>
  <c r="C22" i="18" s="1"/>
  <c r="C23" i="18" s="1"/>
  <c r="O19" i="5"/>
  <c r="O20" i="5" s="1"/>
  <c r="O22" i="5" s="1"/>
  <c r="O8" i="17"/>
  <c r="O31" i="21" l="1"/>
  <c r="N49" i="15"/>
  <c r="N12" i="21"/>
  <c r="N21" i="21"/>
  <c r="O9" i="15"/>
  <c r="O10" i="21"/>
  <c r="C26" i="18"/>
  <c r="C28" i="18" s="1"/>
  <c r="O17" i="17"/>
  <c r="O19" i="17" s="1"/>
  <c r="O6" i="17"/>
  <c r="O10" i="17" s="1"/>
  <c r="N18" i="18" l="1"/>
  <c r="S9" i="20"/>
  <c r="U9" i="20" s="1"/>
  <c r="U10" i="20" s="1"/>
  <c r="O20" i="17"/>
  <c r="O22" i="17" s="1"/>
  <c r="O43" i="15" l="1"/>
  <c r="O18" i="21" s="1"/>
  <c r="P21" i="17"/>
  <c r="P11" i="17" s="1"/>
  <c r="P14" i="17" s="1"/>
  <c r="O10" i="15"/>
  <c r="O17" i="21" s="1"/>
  <c r="O25" i="15" l="1"/>
  <c r="O11" i="21"/>
  <c r="O44" i="15"/>
  <c r="P18" i="5"/>
  <c r="O15" i="21" l="1"/>
  <c r="O14" i="21"/>
  <c r="O36" i="15"/>
  <c r="O37" i="15" s="1"/>
  <c r="O46" i="15" s="1"/>
  <c r="P19" i="5"/>
  <c r="P8" i="17"/>
  <c r="O12" i="21" l="1"/>
  <c r="O21" i="21"/>
  <c r="O49" i="15"/>
  <c r="P20" i="5"/>
  <c r="P22" i="5" l="1"/>
  <c r="P31" i="21" l="1"/>
  <c r="P9" i="15"/>
  <c r="P10" i="21"/>
  <c r="P6" i="17"/>
  <c r="P10" i="17" s="1"/>
  <c r="P17" i="17"/>
  <c r="P19" i="17" s="1"/>
  <c r="P20" i="17" l="1"/>
  <c r="P22" i="17" s="1"/>
  <c r="P43" i="15" l="1"/>
  <c r="P18" i="21" s="1"/>
  <c r="Q21" i="17"/>
  <c r="Q11" i="17" s="1"/>
  <c r="Q14" i="17" s="1"/>
  <c r="P10" i="15"/>
  <c r="P17" i="21" s="1"/>
  <c r="P25" i="15" l="1"/>
  <c r="P11" i="21"/>
  <c r="P44" i="15"/>
  <c r="Q18" i="5"/>
  <c r="P36" i="15" l="1"/>
  <c r="P37" i="15" s="1"/>
  <c r="P46" i="15" s="1"/>
  <c r="P15" i="21"/>
  <c r="P14" i="21"/>
  <c r="Q19" i="5"/>
  <c r="Q20" i="5" s="1"/>
  <c r="Q8" i="17"/>
  <c r="P49" i="15" l="1"/>
  <c r="P21" i="21"/>
  <c r="P12" i="21"/>
  <c r="Q22" i="5"/>
  <c r="Q31" i="21" l="1"/>
  <c r="Q9" i="15"/>
  <c r="Q10" i="21"/>
  <c r="Q17" i="17"/>
  <c r="Q19" i="17" s="1"/>
  <c r="Q6" i="17"/>
  <c r="Q10" i="17" s="1"/>
  <c r="Q20" i="17" l="1"/>
  <c r="Q22" i="17" s="1"/>
  <c r="Q43" i="15" l="1"/>
  <c r="Q18" i="21" s="1"/>
  <c r="R21" i="17"/>
  <c r="R11" i="17" s="1"/>
  <c r="R14" i="17" s="1"/>
  <c r="Q10" i="15" l="1"/>
  <c r="Q17" i="21" s="1"/>
  <c r="Q44" i="15"/>
  <c r="R18" i="5"/>
  <c r="Q15" i="21" l="1"/>
  <c r="Q14" i="21"/>
  <c r="Q25" i="15"/>
  <c r="Q11" i="21"/>
  <c r="R19" i="5"/>
  <c r="R20" i="5" s="1"/>
  <c r="R8" i="17"/>
  <c r="Q36" i="15" l="1"/>
  <c r="Q37" i="15" s="1"/>
  <c r="Q46" i="15" s="1"/>
  <c r="R22" i="5"/>
  <c r="Q21" i="21" l="1"/>
  <c r="Q12" i="21"/>
  <c r="Q49" i="15"/>
  <c r="R31" i="21"/>
  <c r="R9" i="15"/>
  <c r="R10" i="21"/>
  <c r="R6" i="17"/>
  <c r="R10" i="17" s="1"/>
  <c r="R17" i="17"/>
  <c r="R19" i="17" s="1"/>
  <c r="R20" i="17" l="1"/>
  <c r="R22" i="17" s="1"/>
  <c r="S21" i="17" l="1"/>
  <c r="S11" i="17" s="1"/>
  <c r="S14" i="17" s="1"/>
  <c r="R43" i="15"/>
  <c r="R18" i="21" s="1"/>
  <c r="R10" i="15" l="1"/>
  <c r="R17" i="21" s="1"/>
  <c r="R44" i="15"/>
  <c r="S18" i="5"/>
  <c r="R15" i="21" l="1"/>
  <c r="R14" i="21"/>
  <c r="R25" i="15"/>
  <c r="R11" i="21"/>
  <c r="S19" i="5"/>
  <c r="S20" i="5" s="1"/>
  <c r="S8" i="17"/>
  <c r="R36" i="15" l="1"/>
  <c r="R37" i="15" s="1"/>
  <c r="R46" i="15" s="1"/>
  <c r="S22" i="5"/>
  <c r="S31" i="21" l="1"/>
  <c r="R21" i="21"/>
  <c r="R12" i="21"/>
  <c r="R49" i="15"/>
  <c r="S9" i="15"/>
  <c r="S10" i="21"/>
  <c r="S6" i="17"/>
  <c r="S10" i="17" s="1"/>
  <c r="S17" i="17"/>
  <c r="S19" i="17" s="1"/>
  <c r="S20" i="17" l="1"/>
  <c r="S22" i="17" s="1"/>
  <c r="T21" i="17" l="1"/>
  <c r="T11" i="17" s="1"/>
  <c r="T14" i="17" s="1"/>
  <c r="S43" i="15"/>
  <c r="S18" i="21" s="1"/>
  <c r="S44" i="15" l="1"/>
  <c r="T18" i="5"/>
  <c r="S10" i="15"/>
  <c r="S17" i="21" s="1"/>
  <c r="S15" i="21" l="1"/>
  <c r="S14" i="21"/>
  <c r="S25" i="15"/>
  <c r="S11" i="21"/>
  <c r="T19" i="5"/>
  <c r="T8" i="17"/>
  <c r="S36" i="15" l="1"/>
  <c r="S37" i="15" s="1"/>
  <c r="S46" i="15" s="1"/>
  <c r="T20" i="5"/>
  <c r="S12" i="21" l="1"/>
  <c r="S21" i="21"/>
  <c r="S49" i="15"/>
  <c r="T22" i="5"/>
  <c r="T31" i="21" l="1"/>
  <c r="T9" i="15"/>
  <c r="T10" i="21"/>
  <c r="T17" i="17"/>
  <c r="T19" i="17" s="1"/>
  <c r="T6" i="17"/>
  <c r="T10" i="17" s="1"/>
  <c r="T20" i="17" l="1"/>
  <c r="T22" i="17" s="1"/>
  <c r="T43" i="15" s="1"/>
  <c r="T44" i="15" l="1"/>
  <c r="T18" i="21"/>
  <c r="T10" i="15"/>
  <c r="T17" i="21" s="1"/>
  <c r="T14" i="21" l="1"/>
  <c r="T15" i="21"/>
  <c r="T25" i="15"/>
  <c r="T11" i="21"/>
  <c r="T36" i="15" l="1"/>
  <c r="T37" i="15" s="1"/>
  <c r="T46" i="15" s="1"/>
  <c r="T12" i="21" l="1"/>
  <c r="T21" i="21"/>
  <c r="T4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L15" authorId="0" shapeId="0" xr:uid="{8F65C3CC-E6CD-4E32-AE9A-E95847664F4C}">
      <text>
        <r>
          <rPr>
            <b/>
            <sz val="9"/>
            <color indexed="81"/>
            <rFont val="Tahoma"/>
            <family val="2"/>
          </rPr>
          <t xml:space="preserve">Estimated as 6.5% of 2903 of opening cash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M36" authorId="0" shapeId="0" xr:uid="{8A386CA0-B940-44E9-AB35-F58BF89EC525}">
      <text>
        <r>
          <rPr>
            <b/>
            <sz val="9"/>
            <color indexed="81"/>
            <rFont val="Tahoma"/>
            <family val="2"/>
          </rPr>
          <t>calculated by subtracting the total current and Fixed assests from the total of liabilities and equities</t>
        </r>
      </text>
    </comment>
    <comment ref="N36" authorId="0" shapeId="0" xr:uid="{F4FFB0C3-9E1E-45EF-A211-DDA0D5D5DFC2}">
      <text>
        <r>
          <rPr>
            <b/>
            <sz val="9"/>
            <color indexed="81"/>
            <rFont val="Tahoma"/>
            <family val="2"/>
          </rPr>
          <t>calculated by subtracting the total current and Fixed assests from the total of liabilities and equities</t>
        </r>
      </text>
    </comment>
    <comment ref="O36" authorId="0" shapeId="0" xr:uid="{2E25B30F-2F8C-4AA8-AAA6-1FB77F265F39}">
      <text>
        <r>
          <rPr>
            <b/>
            <sz val="9"/>
            <color indexed="81"/>
            <rFont val="Tahoma"/>
            <family val="2"/>
          </rPr>
          <t>calculated by subtracting the total current and Fixed assests from the total of liabilities and equities</t>
        </r>
      </text>
    </comment>
    <comment ref="P36" authorId="0" shapeId="0" xr:uid="{2FC04209-3C17-46AF-8A44-6F665034D6D4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G8" authorId="0" shapeId="0" xr:uid="{2157D179-A3EF-4763-AB0D-E7B8F199FA8D}">
      <text>
        <r>
          <rPr>
            <sz val="9"/>
            <color indexed="81"/>
            <rFont val="Tahoma"/>
            <family val="2"/>
          </rPr>
          <t xml:space="preserve">calculated
</t>
        </r>
      </text>
    </comment>
    <comment ref="G52" authorId="0" shapeId="0" xr:uid="{CFA86D98-6FB4-4EDC-8FE7-3164B3B5F589}">
      <text>
        <r>
          <rPr>
            <b/>
            <sz val="9"/>
            <color indexed="81"/>
            <rFont val="Tahoma"/>
            <family val="2"/>
          </rPr>
          <t xml:space="preserve">Estimated 2.2 % of Sales </t>
        </r>
      </text>
    </comment>
    <comment ref="G66" authorId="0" shapeId="0" xr:uid="{616B250C-10D3-40C8-B4D8-538B9018A3C2}">
      <text>
        <r>
          <rPr>
            <b/>
            <sz val="9"/>
            <color indexed="81"/>
            <rFont val="Tahoma"/>
            <family val="2"/>
          </rPr>
          <t>Shivam:</t>
        </r>
        <r>
          <rPr>
            <sz val="9"/>
            <color indexed="81"/>
            <rFont val="Tahoma"/>
            <family val="2"/>
          </rPr>
          <t xml:space="preserve">
estimated and decline is due to sale of fixed asset</t>
        </r>
      </text>
    </comment>
    <comment ref="G78" authorId="0" shapeId="0" xr:uid="{D3E5FB7F-510B-434A-8236-DA07D3DD82F2}">
      <text>
        <r>
          <rPr>
            <b/>
            <sz val="9"/>
            <color indexed="81"/>
            <rFont val="Tahoma"/>
            <family val="2"/>
          </rPr>
          <t>Estimated as the clsoing was 76 and information is not sufficient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G44" authorId="0" shapeId="0" xr:uid="{A9CF78F6-1470-4B01-B68F-2BCFA1A2C840}">
      <text>
        <r>
          <rPr>
            <b/>
            <sz val="9"/>
            <color indexed="81"/>
            <rFont val="Tahoma"/>
            <family val="2"/>
          </rPr>
          <t>Shivam:</t>
        </r>
        <r>
          <rPr>
            <sz val="9"/>
            <color indexed="81"/>
            <rFont val="Tahoma"/>
            <family val="2"/>
          </rPr>
          <t xml:space="preserve">
Estimated as a percentage of median OF LAST 4 YEARS</t>
        </r>
      </text>
    </comment>
  </commentList>
</comments>
</file>

<file path=xl/sharedStrings.xml><?xml version="1.0" encoding="utf-8"?>
<sst xmlns="http://schemas.openxmlformats.org/spreadsheetml/2006/main" count="590" uniqueCount="380">
  <si>
    <t>Trade Payables</t>
  </si>
  <si>
    <t>Total Current Liabilities</t>
  </si>
  <si>
    <t>Intangible Assets</t>
  </si>
  <si>
    <t>Inventories</t>
  </si>
  <si>
    <t>Total Current Assets</t>
  </si>
  <si>
    <t>Total Assets</t>
  </si>
  <si>
    <t>Other Income</t>
  </si>
  <si>
    <t>Exceptional Items</t>
  </si>
  <si>
    <t>Extraordinary Items</t>
  </si>
  <si>
    <t>Long Term Borrowings</t>
  </si>
  <si>
    <t>Deferred Tax Liabilities [Net]</t>
  </si>
  <si>
    <t>Total Non-Current Liabilities</t>
  </si>
  <si>
    <t>Short Term Borrowings</t>
  </si>
  <si>
    <t>Other Current Liabilities</t>
  </si>
  <si>
    <t>Fixed Assets</t>
  </si>
  <si>
    <t>x</t>
  </si>
  <si>
    <t>Test</t>
  </si>
  <si>
    <t>Particulars</t>
  </si>
  <si>
    <t>Inventory</t>
  </si>
  <si>
    <t>Free Cash Flow</t>
  </si>
  <si>
    <t>Total</t>
  </si>
  <si>
    <t>Sales</t>
  </si>
  <si>
    <t>Employee Cost</t>
  </si>
  <si>
    <t>Selling and admin</t>
  </si>
  <si>
    <t>Depreciation</t>
  </si>
  <si>
    <t>Interest</t>
  </si>
  <si>
    <t>Tax</t>
  </si>
  <si>
    <t>Net Block</t>
  </si>
  <si>
    <t>Capital Work in Progress</t>
  </si>
  <si>
    <t>Income Statement</t>
  </si>
  <si>
    <t>Gross Profit</t>
  </si>
  <si>
    <t>EBITDA</t>
  </si>
  <si>
    <t>Depreciation &amp; Amortization</t>
  </si>
  <si>
    <t>EBIT</t>
  </si>
  <si>
    <t>Total COGS</t>
  </si>
  <si>
    <t>Operating Expenes</t>
  </si>
  <si>
    <t>Total Operating Expenses</t>
  </si>
  <si>
    <t>Profit Before Tax (PBT)</t>
  </si>
  <si>
    <t>Profit After Tax (PAT)</t>
  </si>
  <si>
    <t>Assumptions</t>
  </si>
  <si>
    <t>Employee Cost as % of Sales</t>
  </si>
  <si>
    <t>Selling and admin as % of Sales</t>
  </si>
  <si>
    <t>Total Sales Volume</t>
  </si>
  <si>
    <t>(in Millions)</t>
  </si>
  <si>
    <t>Prestige &amp; Above (P&amp;A) Vol</t>
  </si>
  <si>
    <t>Popular Vol</t>
  </si>
  <si>
    <t>CAGR in P&amp;A Segment</t>
  </si>
  <si>
    <t>United Spirits Company Insights</t>
  </si>
  <si>
    <t>Product Segments</t>
  </si>
  <si>
    <t>Segment Tier</t>
  </si>
  <si>
    <t>Category / Product Name</t>
  </si>
  <si>
    <t>Brand Positioning &amp; Pricing Sub-Tier</t>
  </si>
  <si>
    <t>Consolidated Value Matrices &amp; Revenue Benchmarks</t>
  </si>
  <si>
    <t xml:space="preserve">Lower Prestige </t>
  </si>
  <si>
    <t xml:space="preserve">Mid Prestige </t>
  </si>
  <si>
    <t xml:space="preserve">Luxury &amp; Premium Scotch </t>
  </si>
  <si>
    <t xml:space="preserve">Premium Scotch </t>
  </si>
  <si>
    <t xml:space="preserve">Upper Prestige </t>
  </si>
  <si>
    <t xml:space="preserve">Prestige Sub-Tier </t>
  </si>
  <si>
    <t xml:space="preserve">Luxury Malts (Artisanal Craft) </t>
  </si>
  <si>
    <t xml:space="preserve">High-Growth Luxury Core </t>
  </si>
  <si>
    <t xml:space="preserve">Luxury Malts </t>
  </si>
  <si>
    <t xml:space="preserve">Premium Innovation Core </t>
  </si>
  <si>
    <t xml:space="preserve">Premium Luxury Spirits </t>
  </si>
  <si>
    <t xml:space="preserve">High-Growth Tequila Tier </t>
  </si>
  <si>
    <t xml:space="preserve">White Spirits / Flavour Range </t>
  </si>
  <si>
    <t xml:space="preserve">Premium Spirit Core </t>
  </si>
  <si>
    <t xml:space="preserve">Non-Whisky Prestige Range </t>
  </si>
  <si>
    <t xml:space="preserve">Segment Extension Line </t>
  </si>
  <si>
    <t xml:space="preserve">Premium White Spirits </t>
  </si>
  <si>
    <t xml:space="preserve">Premium Gin Segment </t>
  </si>
  <si>
    <t xml:space="preserve">Premium / Imports / Specialty Liqueurs </t>
  </si>
  <si>
    <t xml:space="preserve">Distributed Brand Matrix </t>
  </si>
  <si>
    <t xml:space="preserve">Value / Mass Spirits </t>
  </si>
  <si>
    <t xml:space="preserve">Mass Value Contribution </t>
  </si>
  <si>
    <t xml:space="preserve">Value / Mass Rum </t>
  </si>
  <si>
    <t xml:space="preserve">Value / Heritage Spirit Lines </t>
  </si>
  <si>
    <t xml:space="preserve">Prestige &amp; Above (P&amp;A) </t>
  </si>
  <si>
    <t xml:space="preserve">McDowell's No.1 Whisky </t>
  </si>
  <si>
    <t xml:space="preserve">&gt; ₹1,000 Crore Brand </t>
  </si>
  <si>
    <t xml:space="preserve">Royal Challenge </t>
  </si>
  <si>
    <t xml:space="preserve">Johnnie Walker (Blue, Gold, Black, Double Black, Red, Blonde Label) </t>
  </si>
  <si>
    <t xml:space="preserve">Black &amp; White </t>
  </si>
  <si>
    <t xml:space="preserve">₹500 - ₹1,000 Crore Brand </t>
  </si>
  <si>
    <t xml:space="preserve">Black Dog (Triple Gold Reserve, Black Reserve, Millard's Private Reserve) </t>
  </si>
  <si>
    <t xml:space="preserve">Signature (Premier, Rare) </t>
  </si>
  <si>
    <t xml:space="preserve">Royal Challenge American Pride </t>
  </si>
  <si>
    <t xml:space="preserve">Godawan (01 Rich &amp; Rounded, 02 Fruit &amp; Spice) </t>
  </si>
  <si>
    <t xml:space="preserve">McDowell's &amp; Co Distiller's Batch </t>
  </si>
  <si>
    <t xml:space="preserve">Don Julio Tequila </t>
  </si>
  <si>
    <t xml:space="preserve">Smirnoff Vodka (Core &amp; Flavors: Mirchi Mango, Minty Jamun, Zesty Lime) </t>
  </si>
  <si>
    <t xml:space="preserve">McDowell's X Series (Gins, Vodkas, Rums) </t>
  </si>
  <si>
    <t xml:space="preserve">Tanqueray Gin </t>
  </si>
  <si>
    <t xml:space="preserve">Other Premium Marks (The Singleton, Baileys Liqueur, Captain Morgan Rum, Cîroc, Ketel One, Antiquity Blue) </t>
  </si>
  <si>
    <t xml:space="preserve">Popular Segment </t>
  </si>
  <si>
    <t xml:space="preserve">Director’s Special Black (DSP Black) / Mass Whiskies </t>
  </si>
  <si>
    <t xml:space="preserve">McDowell's No.1 Celebration Rum / Mass Rum Lines </t>
  </si>
  <si>
    <t xml:space="preserve">Mass-Market Brandies / Regional Spirits </t>
  </si>
  <si>
    <t>Base</t>
  </si>
  <si>
    <t>Best</t>
  </si>
  <si>
    <t>Bear</t>
  </si>
  <si>
    <t>Sales Growth % Scenarios</t>
  </si>
  <si>
    <t>United Spirits Economic Scenarios</t>
  </si>
  <si>
    <t>Scenario Switch</t>
  </si>
  <si>
    <t>Gross Profit Margin % Scenarios</t>
  </si>
  <si>
    <t>Gross Profi Margin %</t>
  </si>
  <si>
    <t>Sales Growth %</t>
  </si>
  <si>
    <t>Cost of Goods Sold(COGS)</t>
  </si>
  <si>
    <t>Notes to Accounts</t>
  </si>
  <si>
    <t>Interest income on financial assets held at amortised cost</t>
  </si>
  <si>
    <t>Exchange gain (net)</t>
  </si>
  <si>
    <t>Gain on disposal of property plant and equipment (net)</t>
  </si>
  <si>
    <t>Profit on sale of investment</t>
  </si>
  <si>
    <t>Fair value gains on current investments (net)</t>
  </si>
  <si>
    <t>Liabilities no longer required written back</t>
  </si>
  <si>
    <t>Bad debts / advances recovered</t>
  </si>
  <si>
    <t>Miscellaneous income</t>
  </si>
  <si>
    <t>Interest income on term deposits and investments held at amortised cost</t>
  </si>
  <si>
    <t>Interest income on direct and indirect tax refunds</t>
  </si>
  <si>
    <t>Profit on redemption of mutual fund units</t>
  </si>
  <si>
    <t>Increase in fair value of current investments (net)</t>
  </si>
  <si>
    <t>Interest income from loan to a joint venture held at amortised cost</t>
  </si>
  <si>
    <t>Total other income For analysis</t>
  </si>
  <si>
    <t>Total Other Income</t>
  </si>
  <si>
    <t>Exceptional items for analysis</t>
  </si>
  <si>
    <t>Median of Last 10 Years</t>
  </si>
  <si>
    <t>Finance costs</t>
  </si>
  <si>
    <t>Interest charges on lease liabilities</t>
  </si>
  <si>
    <t>Interest expense on borrowings at amortised cost</t>
  </si>
  <si>
    <t>Interest- others</t>
  </si>
  <si>
    <t>Working Schedules</t>
  </si>
  <si>
    <t>Additions: New Leases</t>
  </si>
  <si>
    <t>Less: Principal Repayment</t>
  </si>
  <si>
    <t>Right of Use of Assets Schedule</t>
  </si>
  <si>
    <t>Opening ROU assets</t>
  </si>
  <si>
    <t>Additions</t>
  </si>
  <si>
    <t>Closing ROU assets</t>
  </si>
  <si>
    <t>Capex</t>
  </si>
  <si>
    <t>Depreciation and Amortisation</t>
  </si>
  <si>
    <t>Depreciation / impairment of property, plant and equipmen</t>
  </si>
  <si>
    <t>Depreciation of right-of-use assets</t>
  </si>
  <si>
    <t>Amortisation / impairment of intangible assets</t>
  </si>
  <si>
    <t>Revenue</t>
  </si>
  <si>
    <t>Depreciation / impairment of PPE as % of total dep</t>
  </si>
  <si>
    <t>Depreciation of right-of-use assets as % of total dep</t>
  </si>
  <si>
    <t>Amortisation / impairment of intangible assets as %of total dep</t>
  </si>
  <si>
    <t>Total D&amp;A</t>
  </si>
  <si>
    <t>CWIP Schedule</t>
  </si>
  <si>
    <t>Opening</t>
  </si>
  <si>
    <t>Capitalised</t>
  </si>
  <si>
    <t>Closing</t>
  </si>
  <si>
    <t>ROU additions as % of NSV</t>
  </si>
  <si>
    <t>ROU amortisation as % of (opening + 1/2 additions)</t>
  </si>
  <si>
    <t>Accumulated Depreciation</t>
  </si>
  <si>
    <t>Disposal/transfer</t>
  </si>
  <si>
    <t>Gross PPE Opening</t>
  </si>
  <si>
    <t>Median of last 4 years</t>
  </si>
  <si>
    <t>Termination/Transfer</t>
  </si>
  <si>
    <t>Additions(Capex)</t>
  </si>
  <si>
    <t>Dep year 1 capex</t>
  </si>
  <si>
    <t>Dep year 2 capex</t>
  </si>
  <si>
    <t>Dep year 3 capex</t>
  </si>
  <si>
    <t>Dep year 4 capex</t>
  </si>
  <si>
    <t>Depreciation useful life</t>
  </si>
  <si>
    <t>1/6.2%(Average of last 5 years)</t>
  </si>
  <si>
    <t>Useful life</t>
  </si>
  <si>
    <t>Principal Reyament</t>
  </si>
  <si>
    <t>Historical median of last 4 years</t>
  </si>
  <si>
    <t>Opening Lease Liability</t>
  </si>
  <si>
    <t>Closing Lease Liability</t>
  </si>
  <si>
    <t>Interest rate on lease liabilities</t>
  </si>
  <si>
    <t>Historical median intt rate of last 4 years</t>
  </si>
  <si>
    <t>Debt Schedule - Lease Liabilities</t>
  </si>
  <si>
    <t>Debt Schedule - Working Capital loans/Others</t>
  </si>
  <si>
    <t>(Repayment)/Net proceeds</t>
  </si>
  <si>
    <t>Total Debt</t>
  </si>
  <si>
    <t>Finance cost Schedule</t>
  </si>
  <si>
    <t>Interest on lease liabilities</t>
  </si>
  <si>
    <t>Interest on Borrowings</t>
  </si>
  <si>
    <t>Interest Others</t>
  </si>
  <si>
    <t>Interest rate on borrowings</t>
  </si>
  <si>
    <t>Interest others</t>
  </si>
  <si>
    <t>Median of last 5 years</t>
  </si>
  <si>
    <t>Debtor Days</t>
  </si>
  <si>
    <t>Inventory Days</t>
  </si>
  <si>
    <t>Days Payable</t>
  </si>
  <si>
    <t>Cash Conversion Cycle</t>
  </si>
  <si>
    <t>Working Capital Days</t>
  </si>
  <si>
    <t>Gross IA Opening</t>
  </si>
  <si>
    <t>PPE Capex as % of NSV</t>
  </si>
  <si>
    <t>Accumulated Amortisation</t>
  </si>
  <si>
    <t>Amortisation Expense</t>
  </si>
  <si>
    <t>Total capex as % of NSV</t>
  </si>
  <si>
    <t>Amortisation as % of Opening Balance</t>
  </si>
  <si>
    <t>Total Depreciation &amp; Amortisation</t>
  </si>
  <si>
    <t>Property Plant &amp; Equipment Schedule</t>
  </si>
  <si>
    <t>Intangible Assests Schedule</t>
  </si>
  <si>
    <t>Depreciation on PPE Schedule</t>
  </si>
  <si>
    <t>Balance Sheet</t>
  </si>
  <si>
    <t>Equities &amp; Liablilities</t>
  </si>
  <si>
    <t>Share Capital</t>
  </si>
  <si>
    <t>Reserve &amp; Surplus</t>
  </si>
  <si>
    <t>Total Shareholders' Fund</t>
  </si>
  <si>
    <t>Shareholders' Fund</t>
  </si>
  <si>
    <t>Non-Current Liabilities</t>
  </si>
  <si>
    <t>Lease Liabilities</t>
  </si>
  <si>
    <t>Current Liabilities</t>
  </si>
  <si>
    <t>ST Provisions</t>
  </si>
  <si>
    <t>Total Equity &amp; Liabilities</t>
  </si>
  <si>
    <t>ST Provisions as % of Sales</t>
  </si>
  <si>
    <t>Median of last 10years</t>
  </si>
  <si>
    <t>Other Current Liabilities as % of Sales</t>
  </si>
  <si>
    <t>Working Capital Schedule</t>
  </si>
  <si>
    <t>COGS</t>
  </si>
  <si>
    <t>Accounts Receivables</t>
  </si>
  <si>
    <t>Receivables Days</t>
  </si>
  <si>
    <t>Payable Days</t>
  </si>
  <si>
    <t>Average of Last 9 years</t>
  </si>
  <si>
    <t>Assets</t>
  </si>
  <si>
    <t>Non-Current Assets</t>
  </si>
  <si>
    <t>Property Plant &amp; Equip</t>
  </si>
  <si>
    <t>ROU Assets</t>
  </si>
  <si>
    <t>Goodwill</t>
  </si>
  <si>
    <t>Total Fixed Assets</t>
  </si>
  <si>
    <t>Other Non Current Assets</t>
  </si>
  <si>
    <t>Current Assets</t>
  </si>
  <si>
    <t>Other Current Assets</t>
  </si>
  <si>
    <t>Total Non Current Assets</t>
  </si>
  <si>
    <t>Accounts Receivables days</t>
  </si>
  <si>
    <t>Historical Median of Last 10 Years</t>
  </si>
  <si>
    <t>Other Current assets as % of Sales</t>
  </si>
  <si>
    <t>Median of last 3 Years</t>
  </si>
  <si>
    <t>Interest Income</t>
  </si>
  <si>
    <t>Market Yield on MFs, Depoists, investments</t>
  </si>
  <si>
    <t>Tax Rate</t>
  </si>
  <si>
    <t>Dividend Payout Ratio</t>
  </si>
  <si>
    <t>Constant FY 26</t>
  </si>
  <si>
    <t>PAT</t>
  </si>
  <si>
    <t>Cash Flow Statement</t>
  </si>
  <si>
    <t>Cash flow from Operating Activities</t>
  </si>
  <si>
    <t>WC</t>
  </si>
  <si>
    <t>D&amp;A</t>
  </si>
  <si>
    <t>Other Income(Inc Interest)</t>
  </si>
  <si>
    <t>Interest Paid</t>
  </si>
  <si>
    <t>Interest Received</t>
  </si>
  <si>
    <t>Adjustments</t>
  </si>
  <si>
    <t>Net Profit Aafter Tax (PAT)</t>
  </si>
  <si>
    <t>+/- in other non cash items</t>
  </si>
  <si>
    <t>+/- change in NWC</t>
  </si>
  <si>
    <t>Cash Balance(Incl. Bank and Current Investments)</t>
  </si>
  <si>
    <t>Repayment Lease Liabilities</t>
  </si>
  <si>
    <t>Others</t>
  </si>
  <si>
    <t>Net change in Cash</t>
  </si>
  <si>
    <t>Opening Cash Balance</t>
  </si>
  <si>
    <t>Closing Cash Balance</t>
  </si>
  <si>
    <t>Cash flow from investing activities</t>
  </si>
  <si>
    <t>Dividend Paid</t>
  </si>
  <si>
    <t>Change In NWC</t>
  </si>
  <si>
    <t>DCF Valuation</t>
  </si>
  <si>
    <t>NOPAT</t>
  </si>
  <si>
    <t>Dep &amp; Amor.</t>
  </si>
  <si>
    <t>Changes in NWC</t>
  </si>
  <si>
    <t>Cash flow from Financing activities</t>
  </si>
  <si>
    <t>WACC Calculation</t>
  </si>
  <si>
    <t>Risk Free Rate</t>
  </si>
  <si>
    <t>Market Risk Premium</t>
  </si>
  <si>
    <t>Beta</t>
  </si>
  <si>
    <t>CAPM</t>
  </si>
  <si>
    <t>Debt</t>
  </si>
  <si>
    <t>Beta Calculation</t>
  </si>
  <si>
    <t>Date</t>
  </si>
  <si>
    <t>Nifty FMCG</t>
  </si>
  <si>
    <t>Price</t>
  </si>
  <si>
    <t>% Change</t>
  </si>
  <si>
    <t>Beta Calculation Using Weekly Prices of last 5 years</t>
  </si>
  <si>
    <t>Adjusted Beta</t>
  </si>
  <si>
    <t>0.67×Raw Beta+0.33</t>
  </si>
  <si>
    <t>Raw Beta</t>
  </si>
  <si>
    <t>(10-yr G-Sec)</t>
  </si>
  <si>
    <t>Rf​+β×ERP</t>
  </si>
  <si>
    <t>Equity Value</t>
  </si>
  <si>
    <t>WACC</t>
  </si>
  <si>
    <t>Debt is almost negligible, therefore no impact on WACC</t>
  </si>
  <si>
    <t>Discount Period</t>
  </si>
  <si>
    <t>PV of FCF</t>
  </si>
  <si>
    <t>Terminal Year FCF</t>
  </si>
  <si>
    <t>Terminal Growth Rate (g)</t>
  </si>
  <si>
    <t>Terminal Value</t>
  </si>
  <si>
    <t>PV of Terminal Value</t>
  </si>
  <si>
    <t>Enterprise Value</t>
  </si>
  <si>
    <t>Sum of OV of FCF</t>
  </si>
  <si>
    <t>Cash</t>
  </si>
  <si>
    <t>Shares Outstanding</t>
  </si>
  <si>
    <t>Per Share Value</t>
  </si>
  <si>
    <t>Rm-Rf</t>
  </si>
  <si>
    <t>Sensitivity Analysis</t>
  </si>
  <si>
    <t>Rm</t>
  </si>
  <si>
    <t>Nifty50 5 Year Monthly Return</t>
  </si>
  <si>
    <t>Horizontal axis</t>
  </si>
  <si>
    <t>Vertical axis</t>
  </si>
  <si>
    <t>Terminal Growth</t>
  </si>
  <si>
    <t>Peer Comparison</t>
  </si>
  <si>
    <t>United Spirits</t>
  </si>
  <si>
    <t>United Breweries</t>
  </si>
  <si>
    <t>Radico Khaitan Ltd</t>
  </si>
  <si>
    <t>Allied Blenders</t>
  </si>
  <si>
    <t>EV</t>
  </si>
  <si>
    <t>Mkt Cap</t>
  </si>
  <si>
    <t>EV/EBITDA</t>
  </si>
  <si>
    <t>EV/Revenue</t>
  </si>
  <si>
    <t>EV/EBIT</t>
  </si>
  <si>
    <t>P/E</t>
  </si>
  <si>
    <t>Multiples</t>
  </si>
  <si>
    <t>Mean</t>
  </si>
  <si>
    <t>Median</t>
  </si>
  <si>
    <t>Valuation using Mean Multiples</t>
  </si>
  <si>
    <t>Valuation using Median Multiples</t>
  </si>
  <si>
    <t>Shares O/S</t>
  </si>
  <si>
    <t>Enterprise Value &amp; Market Cap(P/E)</t>
  </si>
  <si>
    <t>Dep year 5 capex</t>
  </si>
  <si>
    <t>Dep year 6 capex</t>
  </si>
  <si>
    <t>Dep year 7 capex</t>
  </si>
  <si>
    <t>Dep year 8 capex</t>
  </si>
  <si>
    <t>Implied</t>
  </si>
  <si>
    <t>DCF</t>
  </si>
  <si>
    <t>Weight</t>
  </si>
  <si>
    <t>Contribution</t>
  </si>
  <si>
    <t>Valuation Summary</t>
  </si>
  <si>
    <t>Method</t>
  </si>
  <si>
    <t>Ratio Analysis</t>
  </si>
  <si>
    <t>Profitability Ratios</t>
  </si>
  <si>
    <t>Gross Margin</t>
  </si>
  <si>
    <t>EBITDA Margin</t>
  </si>
  <si>
    <t>EBIT Margin</t>
  </si>
  <si>
    <t>Net Profit Margin</t>
  </si>
  <si>
    <t>Retrun on Equity (ROE)</t>
  </si>
  <si>
    <t>Liquidity Ratios</t>
  </si>
  <si>
    <t>Current Ratio</t>
  </si>
  <si>
    <t>Quick Ratio</t>
  </si>
  <si>
    <t>Leverage Ratios</t>
  </si>
  <si>
    <t>Debt Equity Ratio</t>
  </si>
  <si>
    <t>Net debt to EBITDA</t>
  </si>
  <si>
    <t>Interest Coverage Ratio</t>
  </si>
  <si>
    <t>Efficiency Ratios</t>
  </si>
  <si>
    <t>Asset Turnover Ratio</t>
  </si>
  <si>
    <t>Fixed Asset Turnover Ratio</t>
  </si>
  <si>
    <t>Working Capital Ratios</t>
  </si>
  <si>
    <t>Inventory days</t>
  </si>
  <si>
    <t>Payables days</t>
  </si>
  <si>
    <t>Receivables days</t>
  </si>
  <si>
    <t>Valuation Ratios</t>
  </si>
  <si>
    <t>PE Ratio</t>
  </si>
  <si>
    <t>EV/Sales</t>
  </si>
  <si>
    <t>Return on Capital Employed (ROCE)</t>
  </si>
  <si>
    <t>Market Cap</t>
  </si>
  <si>
    <t>Shares outstanding</t>
  </si>
  <si>
    <t>CMP</t>
  </si>
  <si>
    <t>United Spirits Ltd</t>
  </si>
  <si>
    <t>Net Revenue</t>
  </si>
  <si>
    <t>Growth</t>
  </si>
  <si>
    <t>EBIDTA</t>
  </si>
  <si>
    <t>Gross Profit Margin</t>
  </si>
  <si>
    <t>EBIDTA Margin</t>
  </si>
  <si>
    <t>Profit After Tax</t>
  </si>
  <si>
    <t>PAT Margin</t>
  </si>
  <si>
    <t>Summary Outputs Best Case</t>
  </si>
  <si>
    <t>Summary Outputs Base Case</t>
  </si>
  <si>
    <t>Summary Outputs Bear Case</t>
  </si>
  <si>
    <t>Beta Calculation Using Monthly Prices of last 5 years</t>
  </si>
  <si>
    <t>NSE CODE</t>
  </si>
  <si>
    <t>BSE CODE</t>
  </si>
  <si>
    <t>Share Capital (Rs in Cr.)</t>
  </si>
  <si>
    <t>Face Value</t>
  </si>
  <si>
    <t>Market Cap (Rs in Cr.)</t>
  </si>
  <si>
    <t>Enterprice Value (Rs in Cr.)</t>
  </si>
  <si>
    <t>52 Week High</t>
  </si>
  <si>
    <t>52 Week Low</t>
  </si>
  <si>
    <t>UNITDSPR</t>
  </si>
  <si>
    <t>Value</t>
  </si>
  <si>
    <t>Shares Outstanding (Cr.)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</si>
</sst>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_);\(0.0\)"/>
    <numFmt numFmtId="165" formatCode="0&quot;A&quot;"/>
    <numFmt numFmtId="166" formatCode="_(* #,##0.0_);_(* \(#,##0.0\);_(* &quot;-&quot;?_);_(@_)"/>
    <numFmt numFmtId="167" formatCode="0&quot;E&quot;"/>
    <numFmt numFmtId="168" formatCode="0.0%"/>
    <numFmt numFmtId="169" formatCode="0.00_);\(0.00\)"/>
    <numFmt numFmtId="170" formatCode="0.0"/>
    <numFmt numFmtId="171" formatCode="0.00000"/>
    <numFmt numFmtId="172" formatCode="0.00000_);\(0.00000\)"/>
    <numFmt numFmtId="173" formatCode="0.000000_);\(0.000000\)"/>
    <numFmt numFmtId="174" formatCode="0.0000_);\(0.0000\)"/>
    <numFmt numFmtId="175" formatCode="#,##0.0_);\(#,##0.0\)"/>
    <numFmt numFmtId="176" formatCode="[$-409]mmmm\ d\,\ yyyy;@"/>
    <numFmt numFmtId="177" formatCode="#,##0.000_);\(#,##0.000\)"/>
    <numFmt numFmtId="178" formatCode="0.0\x"/>
    <numFmt numFmtId="179" formatCode="0_);\(0\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sz val="10"/>
      <color rgb="FF000000"/>
      <name val="Calibr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0070C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70C0"/>
      </left>
      <right/>
      <top style="hair">
        <color rgb="FF0070C0"/>
      </top>
      <bottom style="thin">
        <color indexed="64"/>
      </bottom>
      <diagonal/>
    </border>
    <border>
      <left/>
      <right/>
      <top style="hair">
        <color rgb="FF0070C0"/>
      </top>
      <bottom style="thin">
        <color indexed="64"/>
      </bottom>
      <diagonal/>
    </border>
    <border>
      <left/>
      <right style="hair">
        <color rgb="FF0070C0"/>
      </right>
      <top style="hair">
        <color rgb="FF0070C0"/>
      </top>
      <bottom style="thin">
        <color indexed="64"/>
      </bottom>
      <diagonal/>
    </border>
    <border>
      <left style="hair">
        <color rgb="FF0070C0"/>
      </left>
      <right/>
      <top/>
      <bottom style="thin">
        <color indexed="64"/>
      </bottom>
      <diagonal/>
    </border>
    <border>
      <left/>
      <right style="hair">
        <color rgb="FF0070C0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0070C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04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2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9" fontId="0" fillId="0" borderId="0" xfId="2" applyFont="1"/>
    <xf numFmtId="10" fontId="0" fillId="0" borderId="0" xfId="0" applyNumberFormat="1"/>
    <xf numFmtId="0" fontId="0" fillId="0" borderId="0" xfId="1" applyNumberFormat="1" applyFont="1" applyBorder="1" applyAlignment="1">
      <alignment horizontal="left" indent="1"/>
    </xf>
    <xf numFmtId="0" fontId="1" fillId="0" borderId="3" xfId="0" applyFont="1" applyBorder="1"/>
    <xf numFmtId="168" fontId="0" fillId="0" borderId="0" xfId="0" applyNumberFormat="1"/>
    <xf numFmtId="168" fontId="0" fillId="0" borderId="0" xfId="2" applyNumberFormat="1" applyFont="1"/>
    <xf numFmtId="1" fontId="0" fillId="0" borderId="0" xfId="0" applyNumberFormat="1"/>
    <xf numFmtId="0" fontId="6" fillId="2" borderId="0" xfId="0" applyFont="1" applyFill="1"/>
    <xf numFmtId="1" fontId="6" fillId="2" borderId="0" xfId="0" applyNumberFormat="1" applyFont="1" applyFill="1"/>
    <xf numFmtId="2" fontId="0" fillId="0" borderId="1" xfId="0" applyNumberFormat="1" applyBorder="1"/>
    <xf numFmtId="9" fontId="1" fillId="0" borderId="1" xfId="2" applyFont="1" applyBorder="1"/>
    <xf numFmtId="0" fontId="11" fillId="0" borderId="2" xfId="0" applyFont="1" applyBorder="1"/>
    <xf numFmtId="9" fontId="11" fillId="0" borderId="2" xfId="2" applyFont="1" applyFill="1" applyBorder="1"/>
    <xf numFmtId="0" fontId="6" fillId="3" borderId="0" xfId="0" applyFont="1" applyFill="1"/>
    <xf numFmtId="0" fontId="7" fillId="3" borderId="0" xfId="0" applyFont="1" applyFill="1"/>
    <xf numFmtId="0" fontId="0" fillId="3" borderId="0" xfId="0" applyFill="1"/>
    <xf numFmtId="2" fontId="0" fillId="4" borderId="0" xfId="0" applyNumberFormat="1" applyFill="1"/>
    <xf numFmtId="0" fontId="1" fillId="0" borderId="4" xfId="0" applyFont="1" applyBorder="1"/>
    <xf numFmtId="9" fontId="10" fillId="0" borderId="0" xfId="0" applyNumberFormat="1" applyFont="1"/>
    <xf numFmtId="0" fontId="12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169" fontId="8" fillId="0" borderId="0" xfId="0" applyNumberFormat="1" applyFont="1"/>
    <xf numFmtId="169" fontId="1" fillId="0" borderId="0" xfId="0" applyNumberFormat="1" applyFont="1"/>
    <xf numFmtId="169" fontId="1" fillId="0" borderId="5" xfId="0" applyNumberFormat="1" applyFont="1" applyBorder="1"/>
    <xf numFmtId="169" fontId="0" fillId="0" borderId="0" xfId="0" applyNumberFormat="1"/>
    <xf numFmtId="169" fontId="9" fillId="0" borderId="0" xfId="0" applyNumberFormat="1" applyFont="1"/>
    <xf numFmtId="169" fontId="4" fillId="0" borderId="5" xfId="0" applyNumberFormat="1" applyFont="1" applyBorder="1"/>
    <xf numFmtId="169" fontId="0" fillId="0" borderId="5" xfId="0" applyNumberFormat="1" applyBorder="1"/>
    <xf numFmtId="169" fontId="1" fillId="0" borderId="3" xfId="0" applyNumberFormat="1" applyFont="1" applyBorder="1"/>
    <xf numFmtId="0" fontId="0" fillId="0" borderId="0" xfId="0" applyAlignment="1">
      <alignment horizontal="left"/>
    </xf>
    <xf numFmtId="170" fontId="10" fillId="0" borderId="0" xfId="0" applyNumberFormat="1" applyFont="1"/>
    <xf numFmtId="164" fontId="10" fillId="0" borderId="0" xfId="0" applyNumberFormat="1" applyFont="1"/>
    <xf numFmtId="164" fontId="3" fillId="0" borderId="0" xfId="0" applyNumberFormat="1" applyFont="1"/>
    <xf numFmtId="9" fontId="0" fillId="0" borderId="0" xfId="0" applyNumberForma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5" fillId="0" borderId="0" xfId="0" applyFont="1"/>
    <xf numFmtId="169" fontId="10" fillId="0" borderId="0" xfId="0" applyNumberFormat="1" applyFont="1"/>
    <xf numFmtId="0" fontId="0" fillId="0" borderId="6" xfId="0" applyBorder="1"/>
    <xf numFmtId="9" fontId="1" fillId="0" borderId="0" xfId="0" applyNumberFormat="1" applyFont="1"/>
    <xf numFmtId="1" fontId="3" fillId="0" borderId="0" xfId="0" applyNumberFormat="1" applyFont="1"/>
    <xf numFmtId="0" fontId="18" fillId="0" borderId="0" xfId="0" applyFont="1"/>
    <xf numFmtId="2" fontId="0" fillId="0" borderId="0" xfId="2" applyNumberFormat="1" applyFont="1"/>
    <xf numFmtId="166" fontId="2" fillId="0" borderId="0" xfId="1" applyNumberFormat="1" applyFont="1" applyBorder="1" applyAlignment="1">
      <alignment horizontal="right"/>
    </xf>
    <xf numFmtId="172" fontId="0" fillId="0" borderId="0" xfId="0" applyNumberFormat="1"/>
    <xf numFmtId="43" fontId="0" fillId="0" borderId="0" xfId="0" applyNumberFormat="1"/>
    <xf numFmtId="1" fontId="0" fillId="0" borderId="6" xfId="2" applyNumberFormat="1" applyFont="1" applyBorder="1"/>
    <xf numFmtId="174" fontId="0" fillId="0" borderId="0" xfId="0" applyNumberFormat="1"/>
    <xf numFmtId="165" fontId="1" fillId="0" borderId="0" xfId="0" applyNumberFormat="1" applyFont="1"/>
    <xf numFmtId="167" fontId="1" fillId="0" borderId="0" xfId="0" applyNumberFormat="1" applyFont="1"/>
    <xf numFmtId="169" fontId="10" fillId="0" borderId="0" xfId="2" applyNumberFormat="1" applyFont="1" applyBorder="1"/>
    <xf numFmtId="169" fontId="9" fillId="0" borderId="0" xfId="2" applyNumberFormat="1" applyFont="1" applyBorder="1"/>
    <xf numFmtId="169" fontId="0" fillId="0" borderId="0" xfId="2" applyNumberFormat="1" applyFont="1" applyBorder="1"/>
    <xf numFmtId="169" fontId="1" fillId="0" borderId="0" xfId="2" applyNumberFormat="1" applyFont="1" applyBorder="1"/>
    <xf numFmtId="169" fontId="21" fillId="0" borderId="0" xfId="2" applyNumberFormat="1" applyFont="1" applyBorder="1"/>
    <xf numFmtId="169" fontId="20" fillId="0" borderId="0" xfId="2" applyNumberFormat="1" applyFont="1" applyBorder="1"/>
    <xf numFmtId="2" fontId="1" fillId="0" borderId="0" xfId="2" applyNumberFormat="1" applyFont="1" applyBorder="1"/>
    <xf numFmtId="0" fontId="1" fillId="0" borderId="9" xfId="0" applyFont="1" applyBorder="1"/>
    <xf numFmtId="167" fontId="1" fillId="0" borderId="10" xfId="0" applyNumberFormat="1" applyFont="1" applyBorder="1"/>
    <xf numFmtId="0" fontId="0" fillId="0" borderId="9" xfId="0" applyBorder="1"/>
    <xf numFmtId="2" fontId="9" fillId="0" borderId="10" xfId="0" applyNumberFormat="1" applyFont="1" applyBorder="1"/>
    <xf numFmtId="169" fontId="9" fillId="0" borderId="10" xfId="0" applyNumberFormat="1" applyFont="1" applyBorder="1"/>
    <xf numFmtId="169" fontId="0" fillId="0" borderId="10" xfId="0" applyNumberFormat="1" applyBorder="1"/>
    <xf numFmtId="0" fontId="0" fillId="0" borderId="11" xfId="0" applyBorder="1"/>
    <xf numFmtId="169" fontId="0" fillId="0" borderId="12" xfId="0" applyNumberFormat="1" applyBorder="1"/>
    <xf numFmtId="169" fontId="0" fillId="0" borderId="13" xfId="0" applyNumberFormat="1" applyBorder="1"/>
    <xf numFmtId="0" fontId="0" fillId="0" borderId="7" xfId="0" applyBorder="1"/>
    <xf numFmtId="0" fontId="0" fillId="0" borderId="8" xfId="0" applyBorder="1"/>
    <xf numFmtId="169" fontId="9" fillId="0" borderId="10" xfId="2" applyNumberFormat="1" applyFont="1" applyBorder="1"/>
    <xf numFmtId="0" fontId="1" fillId="0" borderId="11" xfId="0" applyFont="1" applyBorder="1"/>
    <xf numFmtId="2" fontId="1" fillId="0" borderId="12" xfId="2" applyNumberFormat="1" applyFont="1" applyBorder="1"/>
    <xf numFmtId="2" fontId="1" fillId="0" borderId="13" xfId="2" applyNumberFormat="1" applyFont="1" applyBorder="1"/>
    <xf numFmtId="169" fontId="10" fillId="0" borderId="12" xfId="0" applyNumberFormat="1" applyFont="1" applyBorder="1"/>
    <xf numFmtId="169" fontId="10" fillId="0" borderId="10" xfId="0" applyNumberFormat="1" applyFont="1" applyBorder="1"/>
    <xf numFmtId="169" fontId="4" fillId="0" borderId="10" xfId="0" applyNumberFormat="1" applyFont="1" applyBorder="1"/>
    <xf numFmtId="169" fontId="18" fillId="0" borderId="0" xfId="0" applyNumberFormat="1" applyFont="1"/>
    <xf numFmtId="169" fontId="1" fillId="0" borderId="10" xfId="0" applyNumberFormat="1" applyFont="1" applyBorder="1"/>
    <xf numFmtId="171" fontId="0" fillId="0" borderId="0" xfId="2" applyNumberFormat="1" applyFont="1" applyBorder="1"/>
    <xf numFmtId="2" fontId="0" fillId="0" borderId="0" xfId="2" applyNumberFormat="1" applyFont="1" applyBorder="1"/>
    <xf numFmtId="169" fontId="1" fillId="0" borderId="12" xfId="0" applyNumberFormat="1" applyFont="1" applyBorder="1"/>
    <xf numFmtId="169" fontId="1" fillId="0" borderId="13" xfId="0" applyNumberFormat="1" applyFont="1" applyBorder="1"/>
    <xf numFmtId="17" fontId="0" fillId="0" borderId="0" xfId="0" applyNumberFormat="1"/>
    <xf numFmtId="169" fontId="3" fillId="0" borderId="0" xfId="0" applyNumberFormat="1" applyFont="1"/>
    <xf numFmtId="0" fontId="1" fillId="0" borderId="15" xfId="0" applyFont="1" applyBorder="1"/>
    <xf numFmtId="169" fontId="1" fillId="0" borderId="16" xfId="0" applyNumberFormat="1" applyFont="1" applyBorder="1"/>
    <xf numFmtId="169" fontId="1" fillId="0" borderId="17" xfId="0" applyNumberFormat="1" applyFont="1" applyBorder="1"/>
    <xf numFmtId="175" fontId="0" fillId="0" borderId="0" xfId="0" applyNumberFormat="1"/>
    <xf numFmtId="49" fontId="0" fillId="0" borderId="0" xfId="0" applyNumberFormat="1"/>
    <xf numFmtId="176" fontId="0" fillId="0" borderId="0" xfId="0" applyNumberFormat="1"/>
    <xf numFmtId="0" fontId="22" fillId="0" borderId="0" xfId="0" applyFont="1"/>
    <xf numFmtId="0" fontId="15" fillId="0" borderId="18" xfId="0" applyFont="1" applyBorder="1"/>
    <xf numFmtId="0" fontId="0" fillId="0" borderId="19" xfId="0" applyBorder="1"/>
    <xf numFmtId="0" fontId="0" fillId="0" borderId="21" xfId="0" applyBorder="1"/>
    <xf numFmtId="0" fontId="1" fillId="0" borderId="21" xfId="0" applyFont="1" applyBorder="1"/>
    <xf numFmtId="0" fontId="1" fillId="0" borderId="0" xfId="0" applyFont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176" fontId="0" fillId="0" borderId="21" xfId="0" applyNumberFormat="1" applyBorder="1"/>
    <xf numFmtId="10" fontId="0" fillId="0" borderId="0" xfId="2" applyNumberFormat="1" applyFont="1" applyBorder="1"/>
    <xf numFmtId="4" fontId="0" fillId="0" borderId="0" xfId="0" applyNumberFormat="1"/>
    <xf numFmtId="10" fontId="0" fillId="0" borderId="22" xfId="2" applyNumberFormat="1" applyFont="1" applyBorder="1"/>
    <xf numFmtId="176" fontId="0" fillId="0" borderId="23" xfId="0" applyNumberFormat="1" applyBorder="1"/>
    <xf numFmtId="169" fontId="0" fillId="0" borderId="24" xfId="0" applyNumberFormat="1" applyBorder="1"/>
    <xf numFmtId="9" fontId="0" fillId="0" borderId="24" xfId="2" applyFont="1" applyBorder="1"/>
    <xf numFmtId="4" fontId="0" fillId="0" borderId="24" xfId="0" applyNumberFormat="1" applyBorder="1"/>
    <xf numFmtId="10" fontId="0" fillId="0" borderId="25" xfId="2" applyNumberFormat="1" applyFont="1" applyBorder="1"/>
    <xf numFmtId="0" fontId="1" fillId="0" borderId="26" xfId="0" applyFont="1" applyBorder="1" applyAlignment="1">
      <alignment horizontal="left" vertical="top"/>
    </xf>
    <xf numFmtId="169" fontId="4" fillId="4" borderId="27" xfId="0" applyNumberFormat="1" applyFont="1" applyFill="1" applyBorder="1"/>
    <xf numFmtId="0" fontId="1" fillId="0" borderId="18" xfId="0" applyFont="1" applyBorder="1" applyAlignment="1">
      <alignment horizontal="left" vertical="top"/>
    </xf>
    <xf numFmtId="0" fontId="22" fillId="0" borderId="20" xfId="0" applyFont="1" applyBorder="1"/>
    <xf numFmtId="169" fontId="0" fillId="0" borderId="22" xfId="0" applyNumberFormat="1" applyBorder="1"/>
    <xf numFmtId="169" fontId="0" fillId="0" borderId="25" xfId="0" applyNumberFormat="1" applyBorder="1"/>
    <xf numFmtId="0" fontId="0" fillId="0" borderId="4" xfId="0" applyBorder="1"/>
    <xf numFmtId="169" fontId="0" fillId="0" borderId="4" xfId="0" applyNumberFormat="1" applyBorder="1"/>
    <xf numFmtId="0" fontId="0" fillId="0" borderId="0" xfId="0" applyAlignment="1">
      <alignment horizontal="centerContinuous"/>
    </xf>
    <xf numFmtId="2" fontId="0" fillId="0" borderId="0" xfId="0" applyNumberFormat="1" applyAlignment="1">
      <alignment horizontal="centerContinuous"/>
    </xf>
    <xf numFmtId="170" fontId="0" fillId="0" borderId="0" xfId="0" applyNumberFormat="1"/>
    <xf numFmtId="0" fontId="1" fillId="0" borderId="14" xfId="0" applyFont="1" applyBorder="1"/>
    <xf numFmtId="0" fontId="1" fillId="0" borderId="7" xfId="0" applyFont="1" applyBorder="1"/>
    <xf numFmtId="0" fontId="1" fillId="0" borderId="8" xfId="0" applyFont="1" applyBorder="1"/>
    <xf numFmtId="9" fontId="9" fillId="0" borderId="0" xfId="2" applyFont="1" applyBorder="1"/>
    <xf numFmtId="9" fontId="9" fillId="0" borderId="10" xfId="2" applyFont="1" applyBorder="1"/>
    <xf numFmtId="0" fontId="0" fillId="0" borderId="14" xfId="0" applyBorder="1"/>
    <xf numFmtId="10" fontId="0" fillId="0" borderId="8" xfId="2" applyNumberFormat="1" applyFont="1" applyBorder="1"/>
    <xf numFmtId="2" fontId="0" fillId="0" borderId="10" xfId="2" applyNumberFormat="1" applyFont="1" applyBorder="1"/>
    <xf numFmtId="169" fontId="7" fillId="0" borderId="14" xfId="0" applyNumberFormat="1" applyFont="1" applyBorder="1"/>
    <xf numFmtId="168" fontId="1" fillId="0" borderId="7" xfId="0" applyNumberFormat="1" applyFont="1" applyBorder="1"/>
    <xf numFmtId="168" fontId="1" fillId="0" borderId="8" xfId="0" applyNumberFormat="1" applyFont="1" applyBorder="1"/>
    <xf numFmtId="168" fontId="1" fillId="0" borderId="9" xfId="0" applyNumberFormat="1" applyFont="1" applyBorder="1"/>
    <xf numFmtId="170" fontId="0" fillId="0" borderId="10" xfId="0" applyNumberFormat="1" applyBorder="1"/>
    <xf numFmtId="168" fontId="1" fillId="0" borderId="11" xfId="0" applyNumberFormat="1" applyFont="1" applyBorder="1"/>
    <xf numFmtId="170" fontId="0" fillId="0" borderId="12" xfId="0" applyNumberFormat="1" applyBorder="1"/>
    <xf numFmtId="170" fontId="0" fillId="0" borderId="13" xfId="0" applyNumberFormat="1" applyBorder="1"/>
    <xf numFmtId="10" fontId="10" fillId="0" borderId="0" xfId="2" applyNumberFormat="1" applyFont="1" applyBorder="1"/>
    <xf numFmtId="2" fontId="9" fillId="0" borderId="0" xfId="2" applyNumberFormat="1" applyFont="1" applyBorder="1"/>
    <xf numFmtId="10" fontId="10" fillId="0" borderId="7" xfId="2" applyNumberFormat="1" applyFont="1" applyBorder="1"/>
    <xf numFmtId="0" fontId="0" fillId="0" borderId="10" xfId="0" applyBorder="1"/>
    <xf numFmtId="0" fontId="0" fillId="0" borderId="12" xfId="0" applyBorder="1"/>
    <xf numFmtId="10" fontId="9" fillId="0" borderId="12" xfId="2" applyNumberFormat="1" applyFont="1" applyBorder="1"/>
    <xf numFmtId="0" fontId="0" fillId="0" borderId="13" xfId="0" applyBorder="1"/>
    <xf numFmtId="0" fontId="0" fillId="0" borderId="0" xfId="0" applyAlignment="1">
      <alignment horizontal="right"/>
    </xf>
    <xf numFmtId="169" fontId="10" fillId="0" borderId="1" xfId="0" applyNumberFormat="1" applyFont="1" applyBorder="1"/>
    <xf numFmtId="169" fontId="9" fillId="0" borderId="1" xfId="0" applyNumberFormat="1" applyFont="1" applyBorder="1"/>
    <xf numFmtId="0" fontId="0" fillId="0" borderId="1" xfId="0" applyBorder="1"/>
    <xf numFmtId="169" fontId="0" fillId="0" borderId="1" xfId="0" applyNumberFormat="1" applyBorder="1"/>
    <xf numFmtId="49" fontId="0" fillId="0" borderId="1" xfId="0" applyNumberFormat="1" applyBorder="1"/>
    <xf numFmtId="167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"/>
    </xf>
    <xf numFmtId="177" fontId="0" fillId="0" borderId="0" xfId="0" applyNumberFormat="1"/>
    <xf numFmtId="169" fontId="0" fillId="0" borderId="0" xfId="0" applyNumberForma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9" fontId="10" fillId="0" borderId="9" xfId="0" applyNumberFormat="1" applyFont="1" applyBorder="1"/>
    <xf numFmtId="9" fontId="10" fillId="0" borderId="0" xfId="2" applyFont="1" applyBorder="1"/>
    <xf numFmtId="9" fontId="10" fillId="0" borderId="10" xfId="2" applyFont="1" applyBorder="1"/>
    <xf numFmtId="9" fontId="10" fillId="0" borderId="11" xfId="0" applyNumberFormat="1" applyFont="1" applyBorder="1"/>
    <xf numFmtId="9" fontId="10" fillId="0" borderId="12" xfId="0" applyNumberFormat="1" applyFont="1" applyBorder="1"/>
    <xf numFmtId="9" fontId="10" fillId="0" borderId="13" xfId="0" applyNumberFormat="1" applyFont="1" applyBorder="1"/>
    <xf numFmtId="165" fontId="1" fillId="0" borderId="0" xfId="0" applyNumberFormat="1" applyFont="1" applyAlignment="1">
      <alignment horizontal="centerContinuous"/>
    </xf>
    <xf numFmtId="169" fontId="10" fillId="0" borderId="0" xfId="0" applyNumberFormat="1" applyFont="1" applyAlignment="1">
      <alignment horizontal="right"/>
    </xf>
    <xf numFmtId="169" fontId="10" fillId="0" borderId="10" xfId="0" applyNumberFormat="1" applyFont="1" applyBorder="1" applyAlignment="1">
      <alignment horizontal="right"/>
    </xf>
    <xf numFmtId="169" fontId="10" fillId="0" borderId="12" xfId="0" applyNumberFormat="1" applyFont="1" applyBorder="1" applyAlignment="1">
      <alignment horizontal="right"/>
    </xf>
    <xf numFmtId="169" fontId="10" fillId="0" borderId="13" xfId="0" applyNumberFormat="1" applyFont="1" applyBorder="1" applyAlignment="1">
      <alignment horizontal="right"/>
    </xf>
    <xf numFmtId="169" fontId="0" fillId="0" borderId="9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0" borderId="12" xfId="0" applyNumberFormat="1" applyBorder="1" applyAlignment="1">
      <alignment horizontal="right"/>
    </xf>
    <xf numFmtId="169" fontId="0" fillId="0" borderId="13" xfId="0" applyNumberFormat="1" applyBorder="1" applyAlignment="1">
      <alignment horizontal="right"/>
    </xf>
    <xf numFmtId="169" fontId="0" fillId="0" borderId="11" xfId="0" applyNumberFormat="1" applyBorder="1" applyAlignment="1">
      <alignment horizontal="right"/>
    </xf>
    <xf numFmtId="178" fontId="0" fillId="0" borderId="9" xfId="0" applyNumberFormat="1" applyBorder="1"/>
    <xf numFmtId="178" fontId="0" fillId="0" borderId="10" xfId="0" applyNumberFormat="1" applyBorder="1"/>
    <xf numFmtId="178" fontId="0" fillId="0" borderId="11" xfId="0" applyNumberFormat="1" applyBorder="1"/>
    <xf numFmtId="178" fontId="0" fillId="0" borderId="12" xfId="0" applyNumberFormat="1" applyBorder="1"/>
    <xf numFmtId="178" fontId="0" fillId="0" borderId="13" xfId="0" applyNumberFormat="1" applyBorder="1"/>
    <xf numFmtId="0" fontId="1" fillId="0" borderId="12" xfId="0" applyFont="1" applyBorder="1" applyAlignment="1">
      <alignment horizontal="centerContinuous"/>
    </xf>
    <xf numFmtId="169" fontId="0" fillId="0" borderId="9" xfId="0" applyNumberFormat="1" applyBorder="1"/>
    <xf numFmtId="169" fontId="1" fillId="0" borderId="11" xfId="0" applyNumberFormat="1" applyFont="1" applyBorder="1"/>
    <xf numFmtId="169" fontId="3" fillId="0" borderId="10" xfId="0" applyNumberFormat="1" applyFont="1" applyBorder="1"/>
    <xf numFmtId="0" fontId="0" fillId="0" borderId="16" xfId="0" applyBorder="1"/>
    <xf numFmtId="9" fontId="1" fillId="0" borderId="16" xfId="2" applyFont="1" applyBorder="1"/>
    <xf numFmtId="9" fontId="1" fillId="0" borderId="17" xfId="2" applyFont="1" applyBorder="1"/>
    <xf numFmtId="9" fontId="10" fillId="0" borderId="7" xfId="0" applyNumberFormat="1" applyFont="1" applyBorder="1"/>
    <xf numFmtId="9" fontId="10" fillId="0" borderId="8" xfId="0" applyNumberFormat="1" applyFont="1" applyBorder="1"/>
    <xf numFmtId="9" fontId="10" fillId="0" borderId="10" xfId="0" applyNumberFormat="1" applyFont="1" applyBorder="1"/>
    <xf numFmtId="1" fontId="10" fillId="0" borderId="0" xfId="0" applyNumberFormat="1" applyFont="1"/>
    <xf numFmtId="1" fontId="0" fillId="0" borderId="0" xfId="2" applyNumberFormat="1" applyFont="1" applyBorder="1"/>
    <xf numFmtId="169" fontId="0" fillId="0" borderId="29" xfId="0" applyNumberFormat="1" applyBorder="1"/>
    <xf numFmtId="0" fontId="0" fillId="0" borderId="29" xfId="0" applyBorder="1"/>
    <xf numFmtId="170" fontId="0" fillId="5" borderId="0" xfId="0" applyNumberFormat="1" applyFill="1"/>
    <xf numFmtId="0" fontId="1" fillId="5" borderId="9" xfId="0" applyFont="1" applyFill="1" applyBorder="1"/>
    <xf numFmtId="169" fontId="1" fillId="5" borderId="10" xfId="0" applyNumberFormat="1" applyFont="1" applyFill="1" applyBorder="1"/>
    <xf numFmtId="0" fontId="1" fillId="5" borderId="11" xfId="0" applyFont="1" applyFill="1" applyBorder="1"/>
    <xf numFmtId="169" fontId="1" fillId="5" borderId="13" xfId="0" applyNumberFormat="1" applyFont="1" applyFill="1" applyBorder="1"/>
    <xf numFmtId="178" fontId="0" fillId="0" borderId="0" xfId="0" applyNumberFormat="1"/>
    <xf numFmtId="0" fontId="0" fillId="0" borderId="31" xfId="0" applyBorder="1"/>
    <xf numFmtId="0" fontId="0" fillId="0" borderId="32" xfId="0" applyBorder="1"/>
    <xf numFmtId="169" fontId="4" fillId="0" borderId="0" xfId="0" applyNumberFormat="1" applyFont="1"/>
    <xf numFmtId="165" fontId="1" fillId="0" borderId="7" xfId="0" applyNumberFormat="1" applyFont="1" applyBorder="1"/>
    <xf numFmtId="167" fontId="1" fillId="0" borderId="7" xfId="0" applyNumberFormat="1" applyFont="1" applyBorder="1"/>
    <xf numFmtId="167" fontId="1" fillId="0" borderId="8" xfId="0" applyNumberFormat="1" applyFont="1" applyBorder="1"/>
    <xf numFmtId="2" fontId="9" fillId="0" borderId="0" xfId="0" applyNumberFormat="1" applyFont="1"/>
    <xf numFmtId="169" fontId="20" fillId="0" borderId="0" xfId="0" applyNumberFormat="1" applyFont="1"/>
    <xf numFmtId="165" fontId="4" fillId="0" borderId="0" xfId="0" applyNumberFormat="1" applyFont="1"/>
    <xf numFmtId="2" fontId="18" fillId="0" borderId="0" xfId="0" applyNumberFormat="1" applyFont="1"/>
    <xf numFmtId="2" fontId="1" fillId="0" borderId="0" xfId="0" applyNumberFormat="1" applyFont="1"/>
    <xf numFmtId="171" fontId="18" fillId="0" borderId="0" xfId="0" applyNumberFormat="1" applyFont="1"/>
    <xf numFmtId="173" fontId="0" fillId="0" borderId="0" xfId="0" applyNumberFormat="1"/>
    <xf numFmtId="2" fontId="18" fillId="0" borderId="12" xfId="0" applyNumberFormat="1" applyFont="1" applyBorder="1"/>
    <xf numFmtId="2" fontId="1" fillId="0" borderId="12" xfId="0" applyNumberFormat="1" applyFont="1" applyBorder="1"/>
    <xf numFmtId="2" fontId="1" fillId="0" borderId="13" xfId="0" applyNumberFormat="1" applyFont="1" applyBorder="1"/>
    <xf numFmtId="169" fontId="0" fillId="0" borderId="10" xfId="2" applyNumberFormat="1" applyFont="1" applyBorder="1"/>
    <xf numFmtId="169" fontId="1" fillId="0" borderId="10" xfId="2" applyNumberFormat="1" applyFont="1" applyBorder="1"/>
    <xf numFmtId="169" fontId="21" fillId="0" borderId="10" xfId="2" applyNumberFormat="1" applyFont="1" applyBorder="1"/>
    <xf numFmtId="169" fontId="1" fillId="0" borderId="12" xfId="2" applyNumberFormat="1" applyFont="1" applyBorder="1"/>
    <xf numFmtId="169" fontId="1" fillId="0" borderId="13" xfId="2" applyNumberFormat="1" applyFont="1" applyBorder="1"/>
    <xf numFmtId="0" fontId="1" fillId="0" borderId="33" xfId="0" applyFont="1" applyBorder="1"/>
    <xf numFmtId="165" fontId="1" fillId="0" borderId="34" xfId="0" applyNumberFormat="1" applyFont="1" applyBorder="1"/>
    <xf numFmtId="167" fontId="1" fillId="0" borderId="34" xfId="0" applyNumberFormat="1" applyFont="1" applyBorder="1"/>
    <xf numFmtId="167" fontId="1" fillId="0" borderId="35" xfId="0" applyNumberFormat="1" applyFont="1" applyBorder="1"/>
    <xf numFmtId="0" fontId="0" fillId="0" borderId="36" xfId="0" applyBorder="1"/>
    <xf numFmtId="169" fontId="0" fillId="0" borderId="37" xfId="0" applyNumberFormat="1" applyBorder="1"/>
    <xf numFmtId="169" fontId="10" fillId="0" borderId="37" xfId="0" applyNumberFormat="1" applyFont="1" applyBorder="1"/>
    <xf numFmtId="169" fontId="9" fillId="0" borderId="37" xfId="0" applyNumberFormat="1" applyFont="1" applyBorder="1"/>
    <xf numFmtId="0" fontId="1" fillId="0" borderId="36" xfId="0" applyFont="1" applyBorder="1"/>
    <xf numFmtId="169" fontId="4" fillId="0" borderId="37" xfId="0" applyNumberFormat="1" applyFont="1" applyBorder="1"/>
    <xf numFmtId="169" fontId="18" fillId="0" borderId="37" xfId="0" applyNumberFormat="1" applyFont="1" applyBorder="1"/>
    <xf numFmtId="0" fontId="1" fillId="0" borderId="38" xfId="0" applyFont="1" applyBorder="1"/>
    <xf numFmtId="0" fontId="18" fillId="0" borderId="39" xfId="0" applyFont="1" applyBorder="1"/>
    <xf numFmtId="1" fontId="18" fillId="0" borderId="39" xfId="0" applyNumberFormat="1" applyFont="1" applyBorder="1"/>
    <xf numFmtId="169" fontId="1" fillId="0" borderId="39" xfId="0" applyNumberFormat="1" applyFont="1" applyBorder="1"/>
    <xf numFmtId="169" fontId="1" fillId="0" borderId="40" xfId="0" applyNumberFormat="1" applyFont="1" applyBorder="1"/>
    <xf numFmtId="169" fontId="9" fillId="0" borderId="0" xfId="0" applyNumberFormat="1" applyFont="1" applyAlignment="1">
      <alignment horizontal="right"/>
    </xf>
    <xf numFmtId="169" fontId="9" fillId="0" borderId="10" xfId="0" applyNumberFormat="1" applyFont="1" applyBorder="1" applyAlignment="1">
      <alignment horizontal="right"/>
    </xf>
    <xf numFmtId="169" fontId="9" fillId="0" borderId="9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0" fillId="0" borderId="8" xfId="0" applyFont="1" applyBorder="1"/>
    <xf numFmtId="2" fontId="10" fillId="0" borderId="10" xfId="2" applyNumberFormat="1" applyFont="1" applyFill="1" applyBorder="1"/>
    <xf numFmtId="0" fontId="10" fillId="0" borderId="13" xfId="0" applyFont="1" applyBorder="1"/>
    <xf numFmtId="0" fontId="1" fillId="5" borderId="12" xfId="0" applyFont="1" applyFill="1" applyBorder="1"/>
    <xf numFmtId="179" fontId="0" fillId="0" borderId="7" xfId="0" applyNumberFormat="1" applyBorder="1"/>
    <xf numFmtId="179" fontId="0" fillId="0" borderId="0" xfId="0" applyNumberFormat="1"/>
    <xf numFmtId="1" fontId="0" fillId="0" borderId="8" xfId="0" applyNumberFormat="1" applyBorder="1"/>
    <xf numFmtId="1" fontId="0" fillId="0" borderId="10" xfId="0" applyNumberFormat="1" applyBorder="1"/>
    <xf numFmtId="1" fontId="1" fillId="5" borderId="13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179" fontId="9" fillId="0" borderId="0" xfId="0" applyNumberFormat="1" applyFont="1"/>
    <xf numFmtId="3" fontId="0" fillId="0" borderId="0" xfId="0" applyNumberFormat="1"/>
    <xf numFmtId="2" fontId="10" fillId="0" borderId="41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right"/>
    </xf>
    <xf numFmtId="2" fontId="10" fillId="0" borderId="11" xfId="0" applyNumberFormat="1" applyFont="1" applyBorder="1" applyAlignment="1">
      <alignment horizontal="right"/>
    </xf>
    <xf numFmtId="0" fontId="25" fillId="0" borderId="0" xfId="0" applyFont="1"/>
    <xf numFmtId="168" fontId="25" fillId="0" borderId="0" xfId="2" applyNumberFormat="1" applyFont="1" applyBorder="1"/>
    <xf numFmtId="0" fontId="25" fillId="0" borderId="39" xfId="0" applyFont="1" applyBorder="1"/>
    <xf numFmtId="168" fontId="25" fillId="0" borderId="39" xfId="2" applyNumberFormat="1" applyFont="1" applyBorder="1"/>
    <xf numFmtId="0" fontId="23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" fillId="0" borderId="42" xfId="0" applyFont="1" applyBorder="1"/>
    <xf numFmtId="165" fontId="1" fillId="0" borderId="4" xfId="0" applyNumberFormat="1" applyFont="1" applyBorder="1"/>
    <xf numFmtId="167" fontId="1" fillId="0" borderId="4" xfId="0" applyNumberFormat="1" applyFont="1" applyBorder="1"/>
    <xf numFmtId="167" fontId="1" fillId="0" borderId="43" xfId="0" applyNumberFormat="1" applyFont="1" applyBorder="1"/>
    <xf numFmtId="0" fontId="0" fillId="0" borderId="44" xfId="0" applyBorder="1"/>
    <xf numFmtId="0" fontId="0" fillId="0" borderId="45" xfId="0" applyBorder="1"/>
    <xf numFmtId="1" fontId="10" fillId="0" borderId="45" xfId="0" applyNumberFormat="1" applyFont="1" applyBorder="1"/>
    <xf numFmtId="0" fontId="24" fillId="0" borderId="44" xfId="0" applyFont="1" applyBorder="1" applyAlignment="1">
      <alignment horizontal="left" indent="1"/>
    </xf>
    <xf numFmtId="0" fontId="24" fillId="0" borderId="0" xfId="0" applyFont="1"/>
    <xf numFmtId="168" fontId="25" fillId="0" borderId="45" xfId="2" applyNumberFormat="1" applyFont="1" applyBorder="1"/>
    <xf numFmtId="168" fontId="25" fillId="0" borderId="46" xfId="2" applyNumberFormat="1" applyFont="1" applyBorder="1"/>
    <xf numFmtId="168" fontId="24" fillId="0" borderId="44" xfId="2" applyNumberFormat="1" applyFont="1" applyBorder="1" applyAlignment="1">
      <alignment horizontal="left" indent="1"/>
    </xf>
    <xf numFmtId="168" fontId="24" fillId="0" borderId="0" xfId="2" applyNumberFormat="1" applyFont="1" applyBorder="1"/>
    <xf numFmtId="168" fontId="5" fillId="0" borderId="44" xfId="2" applyNumberFormat="1" applyFont="1" applyBorder="1"/>
    <xf numFmtId="168" fontId="24" fillId="0" borderId="47" xfId="2" applyNumberFormat="1" applyFont="1" applyBorder="1" applyAlignment="1">
      <alignment horizontal="left" indent="1"/>
    </xf>
    <xf numFmtId="0" fontId="10" fillId="0" borderId="1" xfId="0" applyFont="1" applyBorder="1"/>
    <xf numFmtId="168" fontId="25" fillId="0" borderId="1" xfId="2" applyNumberFormat="1" applyFont="1" applyBorder="1"/>
    <xf numFmtId="168" fontId="25" fillId="0" borderId="48" xfId="2" applyNumberFormat="1" applyFont="1" applyBorder="1"/>
    <xf numFmtId="0" fontId="0" fillId="0" borderId="43" xfId="0" applyBorder="1"/>
    <xf numFmtId="168" fontId="10" fillId="0" borderId="0" xfId="2" applyNumberFormat="1" applyFont="1" applyBorder="1"/>
    <xf numFmtId="0" fontId="0" fillId="0" borderId="45" xfId="0" applyBorder="1" applyAlignment="1">
      <alignment horizontal="right"/>
    </xf>
    <xf numFmtId="0" fontId="19" fillId="0" borderId="44" xfId="0" applyFont="1" applyBorder="1" applyAlignment="1">
      <alignment vertical="top"/>
    </xf>
    <xf numFmtId="0" fontId="19" fillId="0" borderId="44" xfId="0" applyFont="1" applyBorder="1" applyAlignment="1">
      <alignment horizontal="left"/>
    </xf>
    <xf numFmtId="1" fontId="10" fillId="0" borderId="0" xfId="2" applyNumberFormat="1" applyFont="1" applyBorder="1"/>
    <xf numFmtId="0" fontId="0" fillId="0" borderId="47" xfId="0" applyBorder="1"/>
    <xf numFmtId="10" fontId="0" fillId="0" borderId="1" xfId="0" applyNumberFormat="1" applyBorder="1"/>
    <xf numFmtId="0" fontId="0" fillId="0" borderId="48" xfId="0" applyBorder="1" applyAlignment="1">
      <alignment horizontal="right"/>
    </xf>
    <xf numFmtId="10" fontId="10" fillId="0" borderId="0" xfId="0" applyNumberFormat="1" applyFont="1"/>
    <xf numFmtId="10" fontId="10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51" xfId="0" applyBorder="1"/>
    <xf numFmtId="0" fontId="0" fillId="0" borderId="49" xfId="0" applyBorder="1"/>
    <xf numFmtId="0" fontId="27" fillId="6" borderId="50" xfId="0" applyFont="1" applyFill="1" applyBorder="1" applyAlignment="1">
      <alignment horizontal="right" vertical="center" wrapText="1"/>
    </xf>
    <xf numFmtId="0" fontId="27" fillId="6" borderId="50" xfId="0" applyFont="1" applyFill="1" applyBorder="1" applyAlignment="1">
      <alignment horizontal="right"/>
    </xf>
    <xf numFmtId="0" fontId="26" fillId="5" borderId="5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26" fmlaLink="$D$4" fmlaRange="$C$12:$C$1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1051560</xdr:colOff>
          <xdr:row>2</xdr:row>
          <xdr:rowOff>205740</xdr:rowOff>
        </xdr:from>
        <xdr:to>
          <xdr:col>4</xdr:col>
          <xdr:colOff>106680</xdr:colOff>
          <xdr:row>4</xdr:row>
          <xdr:rowOff>68580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0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385C-D66A-460D-BE1A-7E9521C9C03B}">
  <dimension ref="C2:T29"/>
  <sheetViews>
    <sheetView showGridLines="0" zoomScale="78" zoomScaleNormal="55" workbookViewId="0">
      <selection activeCell="H20" sqref="H20"/>
    </sheetView>
  </sheetViews>
  <sheetFormatPr defaultRowHeight="18" customHeight="1" x14ac:dyDescent="0.3"/>
  <cols>
    <col min="3" max="3" width="23.6640625" customWidth="1"/>
    <col min="4" max="6" width="5.6640625" customWidth="1"/>
  </cols>
  <sheetData>
    <row r="2" spans="3:20" ht="18" customHeight="1" x14ac:dyDescent="0.4">
      <c r="C2" s="45" t="s">
        <v>102</v>
      </c>
    </row>
    <row r="4" spans="3:20" ht="18" customHeight="1" x14ac:dyDescent="0.3">
      <c r="C4" s="1" t="s">
        <v>103</v>
      </c>
      <c r="D4">
        <v>1</v>
      </c>
      <c r="H4" s="1"/>
      <c r="I4" s="1"/>
      <c r="J4" s="1"/>
      <c r="K4" s="1"/>
    </row>
    <row r="7" spans="3:20" ht="18" customHeight="1" x14ac:dyDescent="0.4">
      <c r="I7" s="26"/>
    </row>
    <row r="8" spans="3:20" ht="18" customHeight="1" x14ac:dyDescent="0.3">
      <c r="C8" s="1" t="s">
        <v>101</v>
      </c>
      <c r="H8" s="24">
        <v>2027</v>
      </c>
      <c r="I8" s="24">
        <f>H8+1</f>
        <v>2028</v>
      </c>
      <c r="J8" s="24">
        <f t="shared" ref="J8" si="0">I8+1</f>
        <v>2029</v>
      </c>
      <c r="K8" s="24">
        <f t="shared" ref="K8" si="1">J8+1</f>
        <v>2030</v>
      </c>
      <c r="L8" s="24">
        <f t="shared" ref="L8" si="2">K8+1</f>
        <v>2031</v>
      </c>
      <c r="M8" s="24">
        <f t="shared" ref="M8" si="3">L8+1</f>
        <v>2032</v>
      </c>
      <c r="N8" s="24">
        <f t="shared" ref="N8" si="4">M8+1</f>
        <v>2033</v>
      </c>
      <c r="O8" s="24">
        <f t="shared" ref="O8" si="5">N8+1</f>
        <v>2034</v>
      </c>
    </row>
    <row r="10" spans="3:20" ht="18" customHeight="1" x14ac:dyDescent="0.3">
      <c r="C10" s="92" t="s">
        <v>106</v>
      </c>
      <c r="D10" s="190"/>
      <c r="E10" s="190"/>
      <c r="F10" s="190"/>
      <c r="G10" s="190"/>
      <c r="H10" s="191">
        <f>CHOOSE($D$4,H12,H13,H14)</f>
        <v>0.09</v>
      </c>
      <c r="I10" s="191">
        <f t="shared" ref="I10:O10" si="6">CHOOSE($D$4,I12,I13,I14)</f>
        <v>0.09</v>
      </c>
      <c r="J10" s="191">
        <f t="shared" si="6"/>
        <v>0.08</v>
      </c>
      <c r="K10" s="191">
        <f t="shared" si="6"/>
        <v>7.0000000000000007E-2</v>
      </c>
      <c r="L10" s="191">
        <f t="shared" si="6"/>
        <v>6.5000000000000002E-2</v>
      </c>
      <c r="M10" s="191">
        <f t="shared" si="6"/>
        <v>6.5000000000000002E-2</v>
      </c>
      <c r="N10" s="191">
        <f t="shared" si="6"/>
        <v>6.5000000000000002E-2</v>
      </c>
      <c r="O10" s="192">
        <f t="shared" si="6"/>
        <v>6.5000000000000002E-2</v>
      </c>
      <c r="Q10" s="8"/>
      <c r="R10" s="8"/>
      <c r="S10" s="8"/>
      <c r="T10" s="8"/>
    </row>
    <row r="11" spans="3:20" ht="18" customHeight="1" x14ac:dyDescent="0.3">
      <c r="C11" s="7"/>
      <c r="D11" s="7"/>
      <c r="E11" s="7"/>
      <c r="F11" s="7"/>
      <c r="G11" s="7"/>
      <c r="H11" s="7"/>
      <c r="I11" s="7"/>
      <c r="J11" s="7"/>
      <c r="K11" s="7"/>
    </row>
    <row r="12" spans="3:20" ht="18" customHeight="1" x14ac:dyDescent="0.3">
      <c r="C12" s="130" t="s">
        <v>98</v>
      </c>
      <c r="D12" s="75"/>
      <c r="E12" s="75"/>
      <c r="F12" s="75"/>
      <c r="G12" s="75"/>
      <c r="H12" s="193">
        <v>0.09</v>
      </c>
      <c r="I12" s="193">
        <v>0.09</v>
      </c>
      <c r="J12" s="193">
        <v>0.08</v>
      </c>
      <c r="K12" s="193">
        <v>7.0000000000000007E-2</v>
      </c>
      <c r="L12" s="193">
        <v>6.5000000000000002E-2</v>
      </c>
      <c r="M12" s="193">
        <v>6.5000000000000002E-2</v>
      </c>
      <c r="N12" s="193">
        <v>6.5000000000000002E-2</v>
      </c>
      <c r="O12" s="194">
        <v>6.5000000000000002E-2</v>
      </c>
      <c r="Q12" s="8"/>
      <c r="R12" s="8"/>
      <c r="S12" s="8"/>
      <c r="T12" s="8"/>
    </row>
    <row r="13" spans="3:20" ht="18" customHeight="1" x14ac:dyDescent="0.3">
      <c r="C13" s="68" t="s">
        <v>99</v>
      </c>
      <c r="H13" s="25">
        <v>0.11</v>
      </c>
      <c r="I13" s="25">
        <v>0.11</v>
      </c>
      <c r="J13" s="25">
        <v>0.1</v>
      </c>
      <c r="K13" s="25">
        <v>0.09</v>
      </c>
      <c r="L13" s="25">
        <v>0.08</v>
      </c>
      <c r="M13" s="25">
        <v>7.0000000000000007E-2</v>
      </c>
      <c r="N13" s="25">
        <v>7.0000000000000007E-2</v>
      </c>
      <c r="O13" s="195">
        <v>7.0000000000000007E-2</v>
      </c>
    </row>
    <row r="14" spans="3:20" ht="18" customHeight="1" x14ac:dyDescent="0.3">
      <c r="C14" s="72" t="s">
        <v>100</v>
      </c>
      <c r="D14" s="145"/>
      <c r="E14" s="145"/>
      <c r="F14" s="145"/>
      <c r="G14" s="145"/>
      <c r="H14" s="168">
        <v>0.06</v>
      </c>
      <c r="I14" s="168">
        <v>0.06</v>
      </c>
      <c r="J14" s="168">
        <v>0.05</v>
      </c>
      <c r="K14" s="168">
        <v>0.05</v>
      </c>
      <c r="L14" s="168">
        <v>0.05</v>
      </c>
      <c r="M14" s="168">
        <v>0.05</v>
      </c>
      <c r="N14" s="168">
        <v>0.05</v>
      </c>
      <c r="O14" s="169">
        <v>0.05</v>
      </c>
    </row>
    <row r="17" spans="3:15" ht="18" customHeight="1" x14ac:dyDescent="0.3">
      <c r="C17" s="1" t="s">
        <v>104</v>
      </c>
      <c r="H17" s="24">
        <v>2027</v>
      </c>
      <c r="I17" s="24">
        <f>H17+1</f>
        <v>2028</v>
      </c>
      <c r="J17" s="24">
        <f t="shared" ref="J17" si="7">I17+1</f>
        <v>2029</v>
      </c>
      <c r="K17" s="24">
        <f t="shared" ref="K17" si="8">J17+1</f>
        <v>2030</v>
      </c>
      <c r="L17" s="24">
        <f t="shared" ref="L17" si="9">K17+1</f>
        <v>2031</v>
      </c>
      <c r="M17" s="24">
        <f t="shared" ref="M17" si="10">L17+1</f>
        <v>2032</v>
      </c>
      <c r="N17" s="24">
        <f t="shared" ref="N17" si="11">M17+1</f>
        <v>2033</v>
      </c>
      <c r="O17" s="24">
        <f t="shared" ref="O17" si="12">N17+1</f>
        <v>2034</v>
      </c>
    </row>
    <row r="19" spans="3:15" ht="18" customHeight="1" x14ac:dyDescent="0.3">
      <c r="C19" s="92" t="s">
        <v>105</v>
      </c>
      <c r="D19" s="190"/>
      <c r="E19" s="190"/>
      <c r="F19" s="190"/>
      <c r="G19" s="190"/>
      <c r="H19" s="191">
        <f>CHOOSE($D$4,H21,H22,H23)</f>
        <v>0.45500000000000002</v>
      </c>
      <c r="I19" s="191">
        <f>CHOOSE($D$4,I21,I22,I23)</f>
        <v>0.46</v>
      </c>
      <c r="J19" s="191">
        <f>CHOOSE($D$4,J21,J22,J23)</f>
        <v>0.46500000000000002</v>
      </c>
      <c r="K19" s="191">
        <f>CHOOSE($D$4,K21,K22,K23)</f>
        <v>0.47</v>
      </c>
      <c r="L19" s="191">
        <f t="shared" ref="L19:O19" si="13">CHOOSE($D$4,L21,L22,L23)</f>
        <v>0.47</v>
      </c>
      <c r="M19" s="191">
        <f t="shared" si="13"/>
        <v>0.47</v>
      </c>
      <c r="N19" s="191">
        <f t="shared" si="13"/>
        <v>0.47</v>
      </c>
      <c r="O19" s="192">
        <f t="shared" si="13"/>
        <v>0.47</v>
      </c>
    </row>
    <row r="21" spans="3:15" ht="18" customHeight="1" x14ac:dyDescent="0.3">
      <c r="C21" s="130" t="s">
        <v>98</v>
      </c>
      <c r="D21" s="75"/>
      <c r="E21" s="75"/>
      <c r="F21" s="75"/>
      <c r="G21" s="75"/>
      <c r="H21" s="193">
        <v>0.45500000000000002</v>
      </c>
      <c r="I21" s="193">
        <v>0.46</v>
      </c>
      <c r="J21" s="193">
        <v>0.46500000000000002</v>
      </c>
      <c r="K21" s="193">
        <v>0.47</v>
      </c>
      <c r="L21" s="193">
        <v>0.47</v>
      </c>
      <c r="M21" s="193">
        <v>0.47</v>
      </c>
      <c r="N21" s="193">
        <v>0.47</v>
      </c>
      <c r="O21" s="194">
        <v>0.47</v>
      </c>
    </row>
    <row r="22" spans="3:15" ht="18" customHeight="1" x14ac:dyDescent="0.3">
      <c r="C22" s="68" t="s">
        <v>99</v>
      </c>
      <c r="H22" s="25">
        <v>0.46720587069926311</v>
      </c>
      <c r="I22" s="25">
        <v>0.48156147473769351</v>
      </c>
      <c r="J22" s="25">
        <v>0.49591707877612395</v>
      </c>
      <c r="K22" s="25">
        <v>0.5102726828145544</v>
      </c>
      <c r="L22" s="25">
        <v>0.5102726828145544</v>
      </c>
      <c r="M22" s="25">
        <v>0.5102726828145544</v>
      </c>
      <c r="N22" s="25">
        <v>0.5102726828145544</v>
      </c>
      <c r="O22" s="195">
        <v>0.5102726828145544</v>
      </c>
    </row>
    <row r="23" spans="3:15" ht="18" customHeight="1" x14ac:dyDescent="0.3">
      <c r="C23" s="72" t="s">
        <v>100</v>
      </c>
      <c r="D23" s="145"/>
      <c r="E23" s="145"/>
      <c r="F23" s="145"/>
      <c r="G23" s="145"/>
      <c r="H23" s="168">
        <v>0.435</v>
      </c>
      <c r="I23" s="168">
        <v>0.435</v>
      </c>
      <c r="J23" s="168">
        <v>0.44</v>
      </c>
      <c r="K23" s="168">
        <v>0.44</v>
      </c>
      <c r="L23" s="168">
        <v>0.44</v>
      </c>
      <c r="M23" s="168">
        <v>0.44</v>
      </c>
      <c r="N23" s="168">
        <v>0.44</v>
      </c>
      <c r="O23" s="169">
        <v>0.44</v>
      </c>
    </row>
    <row r="27" spans="3:15" ht="18" customHeight="1" x14ac:dyDescent="0.3">
      <c r="H27" s="25"/>
      <c r="I27" s="25"/>
      <c r="J27" s="25"/>
      <c r="K27" s="25"/>
    </row>
    <row r="28" spans="3:15" ht="18" customHeight="1" x14ac:dyDescent="0.3">
      <c r="H28" s="25"/>
      <c r="I28" s="25"/>
      <c r="J28" s="25"/>
      <c r="K28" s="25"/>
    </row>
    <row r="29" spans="3:15" ht="18" customHeight="1" x14ac:dyDescent="0.3">
      <c r="H29" s="25"/>
      <c r="I29" s="25"/>
      <c r="J29" s="25"/>
      <c r="K29" s="2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1" r:id="rId3" name="Drop Down 5">
              <controlPr defaultSize="0" autoLine="0" autoPict="0">
                <anchor moveWithCells="1">
                  <from>
                    <xdr:col>2</xdr:col>
                    <xdr:colOff>1051560</xdr:colOff>
                    <xdr:row>2</xdr:row>
                    <xdr:rowOff>205740</xdr:rowOff>
                  </from>
                  <to>
                    <xdr:col>4</xdr:col>
                    <xdr:colOff>106680</xdr:colOff>
                    <xdr:row>4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9943-2225-48D4-B655-AAF60129AF6C}">
  <dimension ref="A1:I11"/>
  <sheetViews>
    <sheetView showGridLines="0" tabSelected="1" zoomScale="146" workbookViewId="0">
      <selection activeCell="G15" sqref="G15"/>
    </sheetView>
  </sheetViews>
  <sheetFormatPr defaultRowHeight="14.4" x14ac:dyDescent="0.3"/>
  <cols>
    <col min="1" max="1" width="2.77734375" customWidth="1"/>
    <col min="2" max="2" width="27.77734375" customWidth="1"/>
    <col min="3" max="3" width="15.5546875" bestFit="1" customWidth="1"/>
    <col min="4" max="4" width="9.21875" bestFit="1" customWidth="1"/>
    <col min="5" max="5" width="9.33203125" bestFit="1" customWidth="1"/>
    <col min="6" max="6" width="9.109375" bestFit="1" customWidth="1"/>
  </cols>
  <sheetData>
    <row r="1" spans="1:9" x14ac:dyDescent="0.3">
      <c r="B1" s="299"/>
    </row>
    <row r="2" spans="1:9" x14ac:dyDescent="0.3">
      <c r="B2" s="303" t="s">
        <v>369</v>
      </c>
      <c r="C2" s="301" t="s">
        <v>377</v>
      </c>
    </row>
    <row r="3" spans="1:9" x14ac:dyDescent="0.3">
      <c r="B3" s="303" t="s">
        <v>370</v>
      </c>
      <c r="C3" s="302">
        <v>532432</v>
      </c>
      <c r="H3" t="s">
        <v>17</v>
      </c>
      <c r="I3" t="s">
        <v>378</v>
      </c>
    </row>
    <row r="4" spans="1:9" x14ac:dyDescent="0.3">
      <c r="B4" s="303" t="s">
        <v>356</v>
      </c>
      <c r="C4" s="302">
        <v>1345</v>
      </c>
    </row>
    <row r="5" spans="1:9" x14ac:dyDescent="0.3">
      <c r="B5" s="303" t="s">
        <v>371</v>
      </c>
      <c r="C5" s="302">
        <v>145</v>
      </c>
    </row>
    <row r="6" spans="1:9" x14ac:dyDescent="0.3">
      <c r="B6" s="303" t="s">
        <v>379</v>
      </c>
      <c r="C6" s="302">
        <v>72.739999999999995</v>
      </c>
    </row>
    <row r="7" spans="1:9" x14ac:dyDescent="0.3">
      <c r="B7" s="303" t="s">
        <v>372</v>
      </c>
      <c r="C7" s="302">
        <v>2</v>
      </c>
    </row>
    <row r="8" spans="1:9" x14ac:dyDescent="0.3">
      <c r="A8" s="300"/>
      <c r="B8" s="303" t="s">
        <v>373</v>
      </c>
      <c r="C8" s="302">
        <v>96453.239999999991</v>
      </c>
    </row>
    <row r="9" spans="1:9" x14ac:dyDescent="0.3">
      <c r="B9" s="303" t="s">
        <v>374</v>
      </c>
      <c r="C9" s="302">
        <v>93726.239999999991</v>
      </c>
    </row>
    <row r="10" spans="1:9" x14ac:dyDescent="0.3">
      <c r="B10" s="303" t="s">
        <v>375</v>
      </c>
      <c r="C10" s="302">
        <v>1489</v>
      </c>
    </row>
    <row r="11" spans="1:9" x14ac:dyDescent="0.3">
      <c r="B11" s="303" t="s">
        <v>376</v>
      </c>
      <c r="C11" s="302">
        <v>1210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479A-92F5-4F90-9B9B-90A47D6B61C9}">
  <dimension ref="A1:U53"/>
  <sheetViews>
    <sheetView showGridLines="0" topLeftCell="E1" zoomScale="92" workbookViewId="0">
      <selection activeCell="M22" sqref="M22"/>
    </sheetView>
  </sheetViews>
  <sheetFormatPr defaultRowHeight="18" customHeight="1" x14ac:dyDescent="0.3"/>
  <cols>
    <col min="1" max="1" width="2.77734375" customWidth="1"/>
    <col min="2" max="2" width="30.77734375" customWidth="1"/>
    <col min="3" max="8" width="12.77734375" customWidth="1"/>
    <col min="9" max="9" width="5.77734375" customWidth="1"/>
    <col min="10" max="13" width="12.77734375" customWidth="1"/>
    <col min="14" max="14" width="5.77734375" customWidth="1"/>
    <col min="17" max="20" width="10.77734375" customWidth="1"/>
    <col min="21" max="21" width="12" bestFit="1" customWidth="1"/>
    <col min="22" max="22" width="10.77734375" customWidth="1"/>
  </cols>
  <sheetData>
    <row r="1" spans="1:21" ht="14.4" x14ac:dyDescent="0.3"/>
    <row r="2" spans="1:21" ht="21" x14ac:dyDescent="0.4">
      <c r="B2" s="45" t="s">
        <v>301</v>
      </c>
      <c r="M2" s="246" t="str">
        <f>PL!T2</f>
        <v>CURRENTLY RUNNING: BASE SCENARIO</v>
      </c>
      <c r="Q2" s="45" t="s">
        <v>327</v>
      </c>
    </row>
    <row r="3" spans="1:21" ht="21" x14ac:dyDescent="0.4">
      <c r="A3" t="s">
        <v>15</v>
      </c>
      <c r="B3" s="45"/>
      <c r="C3" s="186" t="s">
        <v>39</v>
      </c>
      <c r="D3" s="186"/>
      <c r="E3" s="186"/>
      <c r="F3" s="186"/>
    </row>
    <row r="4" spans="1:21" ht="14.4" x14ac:dyDescent="0.3">
      <c r="C4" s="158" t="s">
        <v>142</v>
      </c>
      <c r="D4" s="159" t="s">
        <v>31</v>
      </c>
      <c r="E4" s="159" t="s">
        <v>33</v>
      </c>
      <c r="F4" s="160" t="s">
        <v>237</v>
      </c>
      <c r="Q4" s="256" t="s">
        <v>328</v>
      </c>
      <c r="R4" s="256"/>
      <c r="S4" s="256" t="s">
        <v>323</v>
      </c>
      <c r="T4" s="256" t="s">
        <v>325</v>
      </c>
      <c r="U4" s="257" t="s">
        <v>326</v>
      </c>
    </row>
    <row r="5" spans="1:21" ht="14.4" x14ac:dyDescent="0.3">
      <c r="B5" s="1" t="s">
        <v>303</v>
      </c>
      <c r="C5" s="164">
        <v>0.08</v>
      </c>
      <c r="D5" s="165">
        <v>8.9177489177489175E-2</v>
      </c>
      <c r="E5" s="165">
        <v>6.2662337662337655E-2</v>
      </c>
      <c r="F5" s="166">
        <v>4.46969696969697E-2</v>
      </c>
    </row>
    <row r="6" spans="1:21" ht="14.4" x14ac:dyDescent="0.3">
      <c r="B6" s="1" t="s">
        <v>304</v>
      </c>
      <c r="C6" s="164">
        <v>0.25</v>
      </c>
      <c r="D6" s="165">
        <v>0.17157024793388428</v>
      </c>
      <c r="E6" s="165">
        <v>0.14644628099173554</v>
      </c>
      <c r="F6" s="166">
        <v>0.10198347107438016</v>
      </c>
      <c r="Q6" s="130" t="s">
        <v>308</v>
      </c>
      <c r="R6" s="75"/>
      <c r="S6" s="251">
        <f>(K29*K13+S14-S13)/S15</f>
        <v>1410.8239631797551</v>
      </c>
      <c r="T6" s="193">
        <v>0.6</v>
      </c>
      <c r="U6" s="253">
        <f>T6*S6</f>
        <v>846.49437790785305</v>
      </c>
    </row>
    <row r="7" spans="1:21" ht="14.4" x14ac:dyDescent="0.3">
      <c r="B7" s="1" t="s">
        <v>305</v>
      </c>
      <c r="C7" s="167">
        <v>0.08</v>
      </c>
      <c r="D7" s="168">
        <v>0.13815957175630894</v>
      </c>
      <c r="E7" s="168">
        <v>0.12413968901351007</v>
      </c>
      <c r="F7" s="169">
        <v>5.8373693601835329E-2</v>
      </c>
      <c r="Q7" s="68" t="s">
        <v>311</v>
      </c>
      <c r="S7" s="252">
        <f>M29*M13/S15</f>
        <v>1675.3906578601968</v>
      </c>
      <c r="T7" s="25">
        <v>0.2</v>
      </c>
      <c r="U7" s="254">
        <f t="shared" ref="U7" si="0">T7*S7</f>
        <v>335.07813157203941</v>
      </c>
    </row>
    <row r="8" spans="1:21" ht="14.4" x14ac:dyDescent="0.3">
      <c r="B8" s="1"/>
      <c r="C8" s="25"/>
      <c r="D8" s="25"/>
      <c r="E8" s="25"/>
      <c r="F8" s="25"/>
      <c r="Q8" s="68" t="s">
        <v>310</v>
      </c>
      <c r="S8" s="252">
        <f>(L29*L13+S14-S13)/S15</f>
        <v>1408.3010625689817</v>
      </c>
      <c r="T8" s="25">
        <v>0.05</v>
      </c>
      <c r="U8" s="254">
        <f>T8*S8</f>
        <v>70.415053128449088</v>
      </c>
    </row>
    <row r="9" spans="1:21" ht="14.4" x14ac:dyDescent="0.3">
      <c r="B9" s="1"/>
      <c r="C9" s="25"/>
      <c r="D9" s="25"/>
      <c r="E9" s="25"/>
      <c r="F9" s="25"/>
      <c r="Q9" s="68" t="s">
        <v>324</v>
      </c>
      <c r="S9" s="258">
        <f>DCF!C28</f>
        <v>642.24000134405298</v>
      </c>
      <c r="T9" s="25">
        <v>0.15</v>
      </c>
      <c r="U9" s="254">
        <f>T9*S9</f>
        <v>96.336000201607945</v>
      </c>
    </row>
    <row r="10" spans="1:21" ht="14.4" x14ac:dyDescent="0.3">
      <c r="B10" s="1"/>
      <c r="C10" s="170">
        <v>2026</v>
      </c>
      <c r="D10" s="123"/>
      <c r="E10" s="123"/>
      <c r="F10" s="123"/>
      <c r="G10" s="123"/>
      <c r="H10" s="123"/>
      <c r="I10" s="4"/>
      <c r="J10" s="154">
        <f>C10+1</f>
        <v>2027</v>
      </c>
      <c r="K10" s="123"/>
      <c r="L10" s="123"/>
      <c r="M10" s="123"/>
      <c r="N10" s="4"/>
      <c r="Q10" s="203" t="s">
        <v>293</v>
      </c>
      <c r="R10" s="250"/>
      <c r="S10" s="250"/>
      <c r="T10" s="250"/>
      <c r="U10" s="255">
        <f>SUM(U6:U9)</f>
        <v>1348.3235628099494</v>
      </c>
    </row>
    <row r="11" spans="1:21" ht="4.95" customHeight="1" x14ac:dyDescent="0.3"/>
    <row r="12" spans="1:21" ht="18" customHeight="1" x14ac:dyDescent="0.3">
      <c r="A12" t="s">
        <v>15</v>
      </c>
      <c r="B12" s="1" t="s">
        <v>17</v>
      </c>
      <c r="C12" s="161" t="s">
        <v>307</v>
      </c>
      <c r="D12" s="162" t="s">
        <v>306</v>
      </c>
      <c r="E12" s="162" t="s">
        <v>142</v>
      </c>
      <c r="F12" s="162" t="s">
        <v>31</v>
      </c>
      <c r="G12" s="162" t="s">
        <v>33</v>
      </c>
      <c r="H12" s="163" t="s">
        <v>237</v>
      </c>
      <c r="I12" s="155"/>
      <c r="J12" s="161" t="s">
        <v>142</v>
      </c>
      <c r="K12" s="162" t="s">
        <v>31</v>
      </c>
      <c r="L12" s="162" t="s">
        <v>33</v>
      </c>
      <c r="M12" s="163" t="s">
        <v>237</v>
      </c>
      <c r="N12" s="155"/>
    </row>
    <row r="13" spans="1:21" ht="18" customHeight="1" x14ac:dyDescent="0.3">
      <c r="B13" s="1" t="s">
        <v>302</v>
      </c>
      <c r="C13" s="260">
        <f>'Ratio Analysis'!L34</f>
        <v>96453.239999999991</v>
      </c>
      <c r="D13" s="171">
        <f>'Ratio Analysis'!L37</f>
        <v>93726.239999999991</v>
      </c>
      <c r="E13" s="243">
        <f>PL!L5</f>
        <v>12467</v>
      </c>
      <c r="F13" s="243">
        <f>PL!L12</f>
        <v>2279</v>
      </c>
      <c r="G13" s="243">
        <f>PL!L14</f>
        <v>1990</v>
      </c>
      <c r="H13" s="244">
        <f>PL!L22</f>
        <v>1838</v>
      </c>
      <c r="I13" s="157"/>
      <c r="J13" s="245">
        <f>PL!M5</f>
        <v>13589.03</v>
      </c>
      <c r="K13" s="243">
        <f>PL!M12</f>
        <v>2547.3241508657065</v>
      </c>
      <c r="L13" s="243">
        <f>PL!M14</f>
        <v>2170.3112506157067</v>
      </c>
      <c r="M13" s="244">
        <f>PL!M22</f>
        <v>1708.6379306742801</v>
      </c>
      <c r="N13" s="157"/>
      <c r="Q13" s="130" t="s">
        <v>268</v>
      </c>
      <c r="R13" s="75"/>
      <c r="S13" s="247">
        <v>407</v>
      </c>
    </row>
    <row r="14" spans="1:21" ht="18" customHeight="1" x14ac:dyDescent="0.3">
      <c r="B14" s="1" t="s">
        <v>303</v>
      </c>
      <c r="C14" s="261">
        <v>35605</v>
      </c>
      <c r="D14" s="171">
        <v>36350</v>
      </c>
      <c r="E14" s="171">
        <v>9240</v>
      </c>
      <c r="F14" s="171">
        <v>824</v>
      </c>
      <c r="G14" s="171">
        <v>579</v>
      </c>
      <c r="H14" s="172">
        <v>413</v>
      </c>
      <c r="I14" s="157"/>
      <c r="J14" s="175">
        <f>E14*(1+C5)</f>
        <v>9979.2000000000007</v>
      </c>
      <c r="K14" s="176">
        <f>J14*D5</f>
        <v>889.92000000000007</v>
      </c>
      <c r="L14" s="176">
        <f>J14*E5</f>
        <v>625.31999999999994</v>
      </c>
      <c r="M14" s="177">
        <f>J14*F5</f>
        <v>446.04000000000008</v>
      </c>
      <c r="N14" s="157"/>
      <c r="Q14" s="68" t="s">
        <v>291</v>
      </c>
      <c r="S14" s="248">
        <v>3134</v>
      </c>
    </row>
    <row r="15" spans="1:21" ht="18" customHeight="1" x14ac:dyDescent="0.3">
      <c r="B15" s="1" t="s">
        <v>304</v>
      </c>
      <c r="C15" s="261">
        <v>50274</v>
      </c>
      <c r="D15" s="171">
        <v>50883</v>
      </c>
      <c r="E15" s="171">
        <v>6050</v>
      </c>
      <c r="F15" s="171">
        <v>1038</v>
      </c>
      <c r="G15" s="171">
        <v>886</v>
      </c>
      <c r="H15" s="172">
        <v>617</v>
      </c>
      <c r="I15" s="157"/>
      <c r="J15" s="175">
        <f>E15*(1+C6)</f>
        <v>7562.5</v>
      </c>
      <c r="K15" s="176">
        <f>J15*D6</f>
        <v>1297.5</v>
      </c>
      <c r="L15" s="176">
        <f>J15*E6</f>
        <v>1107.5</v>
      </c>
      <c r="M15" s="177">
        <f>J15*F6</f>
        <v>771.25</v>
      </c>
      <c r="N15" s="157"/>
      <c r="Q15" s="72" t="s">
        <v>317</v>
      </c>
      <c r="R15" s="145"/>
      <c r="S15" s="249">
        <v>72.739999999999995</v>
      </c>
    </row>
    <row r="16" spans="1:21" ht="18" customHeight="1" x14ac:dyDescent="0.3">
      <c r="B16" s="1" t="s">
        <v>305</v>
      </c>
      <c r="C16" s="262">
        <v>17640</v>
      </c>
      <c r="D16" s="173">
        <v>18635</v>
      </c>
      <c r="E16" s="173">
        <v>3923</v>
      </c>
      <c r="F16" s="173">
        <v>542</v>
      </c>
      <c r="G16" s="173">
        <v>487</v>
      </c>
      <c r="H16" s="174">
        <v>229</v>
      </c>
      <c r="I16" s="157"/>
      <c r="J16" s="180">
        <f>E16*(1+C7)</f>
        <v>4236.84</v>
      </c>
      <c r="K16" s="178">
        <f>J16*D7</f>
        <v>585.36</v>
      </c>
      <c r="L16" s="178">
        <f>J16*E7</f>
        <v>525.96</v>
      </c>
      <c r="M16" s="179">
        <f>J16*F7</f>
        <v>247.32</v>
      </c>
      <c r="N16" s="157"/>
    </row>
    <row r="17" spans="1:13" ht="18" customHeight="1" x14ac:dyDescent="0.3">
      <c r="B17" s="1"/>
    </row>
    <row r="18" spans="1:13" ht="18" customHeight="1" x14ac:dyDescent="0.3">
      <c r="B18" s="1"/>
    </row>
    <row r="19" spans="1:13" ht="18" customHeight="1" x14ac:dyDescent="0.4">
      <c r="A19" t="s">
        <v>15</v>
      </c>
      <c r="B19" s="45" t="s">
        <v>312</v>
      </c>
    </row>
    <row r="20" spans="1:13" ht="18" customHeight="1" x14ac:dyDescent="0.3">
      <c r="E20" s="170">
        <v>2026</v>
      </c>
      <c r="F20" s="122"/>
      <c r="G20" s="122"/>
      <c r="H20" s="122"/>
      <c r="J20" s="154">
        <f>1+E20</f>
        <v>2027</v>
      </c>
      <c r="K20" s="122"/>
      <c r="L20" s="122"/>
      <c r="M20" s="122"/>
    </row>
    <row r="21" spans="1:13" ht="4.95" customHeight="1" x14ac:dyDescent="0.3">
      <c r="E21" s="170"/>
      <c r="F21" s="122"/>
      <c r="G21" s="122"/>
      <c r="H21" s="122"/>
      <c r="J21" s="170"/>
      <c r="K21" s="122"/>
      <c r="L21" s="122"/>
      <c r="M21" s="122"/>
    </row>
    <row r="22" spans="1:13" ht="18" customHeight="1" x14ac:dyDescent="0.3">
      <c r="B22" s="1" t="s">
        <v>17</v>
      </c>
      <c r="E22" s="161" t="s">
        <v>309</v>
      </c>
      <c r="F22" s="162" t="s">
        <v>308</v>
      </c>
      <c r="G22" s="162" t="s">
        <v>310</v>
      </c>
      <c r="H22" s="163" t="s">
        <v>311</v>
      </c>
      <c r="J22" s="161" t="s">
        <v>309</v>
      </c>
      <c r="K22" s="162" t="s">
        <v>308</v>
      </c>
      <c r="L22" s="162" t="s">
        <v>310</v>
      </c>
      <c r="M22" s="163" t="s">
        <v>311</v>
      </c>
    </row>
    <row r="23" spans="1:13" ht="18" customHeight="1" x14ac:dyDescent="0.3">
      <c r="A23" t="s">
        <v>15</v>
      </c>
      <c r="B23" s="1" t="s">
        <v>302</v>
      </c>
      <c r="E23" s="181">
        <f>$D$13/E13</f>
        <v>7.5179465789684761</v>
      </c>
      <c r="F23" s="205">
        <f>$D$13/F13</f>
        <v>41.126037735849053</v>
      </c>
      <c r="G23" s="205">
        <f>$D$13/G13</f>
        <v>47.098613065326631</v>
      </c>
      <c r="H23" s="182">
        <f>$C$13/H13</f>
        <v>52.477279651795428</v>
      </c>
      <c r="J23" s="181">
        <f>$D$13/J13</f>
        <v>6.8971986963013538</v>
      </c>
      <c r="K23" s="205">
        <f>$D$13/K13</f>
        <v>36.793998112940272</v>
      </c>
      <c r="L23" s="205">
        <f>$D$13/L13</f>
        <v>43.185621404953004</v>
      </c>
      <c r="M23" s="182">
        <f>$C$13/M13</f>
        <v>56.450368020295926</v>
      </c>
    </row>
    <row r="24" spans="1:13" ht="18" customHeight="1" x14ac:dyDescent="0.3">
      <c r="B24" s="1" t="s">
        <v>303</v>
      </c>
      <c r="E24" s="181">
        <f>$D$14/E14</f>
        <v>3.9339826839826841</v>
      </c>
      <c r="F24" s="205">
        <f>$D$14/F14</f>
        <v>44.114077669902912</v>
      </c>
      <c r="G24" s="205">
        <f>$D$14/G14</f>
        <v>62.780656303972364</v>
      </c>
      <c r="H24" s="182">
        <f>$C$14/H14</f>
        <v>86.210653753026634</v>
      </c>
      <c r="J24" s="181">
        <f>$D$14/J14</f>
        <v>3.6425765592432255</v>
      </c>
      <c r="K24" s="205">
        <f t="shared" ref="K24:L24" si="1">$D$14/K14</f>
        <v>40.846368212873067</v>
      </c>
      <c r="L24" s="205">
        <f t="shared" si="1"/>
        <v>58.130237318492938</v>
      </c>
      <c r="M24" s="182">
        <f>$C$14/M14</f>
        <v>79.824679400950572</v>
      </c>
    </row>
    <row r="25" spans="1:13" ht="18" customHeight="1" x14ac:dyDescent="0.3">
      <c r="B25" s="1" t="s">
        <v>304</v>
      </c>
      <c r="E25" s="181">
        <f>$D$15/E15</f>
        <v>8.4104132231404964</v>
      </c>
      <c r="F25" s="205">
        <f t="shared" ref="F25:G25" si="2">$D$15/F15</f>
        <v>49.020231213872833</v>
      </c>
      <c r="G25" s="205">
        <f t="shared" si="2"/>
        <v>57.430022573363431</v>
      </c>
      <c r="H25" s="182">
        <f>$C$15/H15</f>
        <v>81.481361426256072</v>
      </c>
      <c r="J25" s="181">
        <f>$D$15/J15</f>
        <v>6.7283305785123968</v>
      </c>
      <c r="K25" s="205">
        <f t="shared" ref="K25:L25" si="3">$D$15/K15</f>
        <v>39.216184971098265</v>
      </c>
      <c r="L25" s="205">
        <f t="shared" si="3"/>
        <v>45.944018058690745</v>
      </c>
      <c r="M25" s="182">
        <f>$C$15/M15</f>
        <v>65.185089141004866</v>
      </c>
    </row>
    <row r="26" spans="1:13" ht="18" customHeight="1" x14ac:dyDescent="0.3">
      <c r="B26" s="1" t="s">
        <v>305</v>
      </c>
      <c r="E26" s="181">
        <f>$D$16/E16</f>
        <v>4.75019118021922</v>
      </c>
      <c r="F26" s="205">
        <f t="shared" ref="F26:G26" si="4">$D$16/F16</f>
        <v>34.381918819188193</v>
      </c>
      <c r="G26" s="205">
        <f t="shared" si="4"/>
        <v>38.264887063655031</v>
      </c>
      <c r="H26" s="182">
        <f>$C$16/H16</f>
        <v>77.030567685589517</v>
      </c>
      <c r="J26" s="181">
        <f>$D$16/J16</f>
        <v>4.3983251668696477</v>
      </c>
      <c r="K26" s="205">
        <f t="shared" ref="K26:L26" si="5">$D$16/K16</f>
        <v>31.835110017766844</v>
      </c>
      <c r="L26" s="205">
        <f t="shared" si="5"/>
        <v>35.430450984865764</v>
      </c>
      <c r="M26" s="182">
        <f>$C$16/M16</f>
        <v>71.324599708879191</v>
      </c>
    </row>
    <row r="27" spans="1:13" ht="4.95" customHeight="1" x14ac:dyDescent="0.3">
      <c r="E27" s="206"/>
      <c r="F27" s="151"/>
      <c r="G27" s="151"/>
      <c r="H27" s="207"/>
      <c r="J27" s="206"/>
      <c r="K27" s="151"/>
      <c r="L27" s="151"/>
      <c r="M27" s="207"/>
    </row>
    <row r="28" spans="1:13" ht="18" customHeight="1" x14ac:dyDescent="0.3">
      <c r="B28" s="1" t="s">
        <v>313</v>
      </c>
      <c r="E28" s="181">
        <f>AVERAGE(E24:E26)</f>
        <v>5.6981956957808002</v>
      </c>
      <c r="F28" s="205">
        <f t="shared" ref="F28:H28" si="6">AVERAGE(F24:F26)</f>
        <v>42.505409234321313</v>
      </c>
      <c r="G28" s="205">
        <f t="shared" si="6"/>
        <v>52.825188646996942</v>
      </c>
      <c r="H28" s="182">
        <f t="shared" si="6"/>
        <v>81.574194288290741</v>
      </c>
      <c r="J28" s="181">
        <f>AVERAGE(J24:J26)</f>
        <v>4.9230774348750899</v>
      </c>
      <c r="K28" s="205">
        <f t="shared" ref="K28:M28" si="7">AVERAGE(K24:K26)</f>
        <v>37.299221067246059</v>
      </c>
      <c r="L28" s="205">
        <f t="shared" si="7"/>
        <v>46.501568787349811</v>
      </c>
      <c r="M28" s="182">
        <f t="shared" si="7"/>
        <v>72.111456083611543</v>
      </c>
    </row>
    <row r="29" spans="1:13" ht="18" customHeight="1" x14ac:dyDescent="0.3">
      <c r="B29" s="1" t="s">
        <v>314</v>
      </c>
      <c r="E29" s="183">
        <f>MEDIAN(E24:E26)</f>
        <v>4.75019118021922</v>
      </c>
      <c r="F29" s="184">
        <f t="shared" ref="F29:H29" si="8">MEDIAN(F24:F26)</f>
        <v>44.114077669902912</v>
      </c>
      <c r="G29" s="184">
        <f t="shared" si="8"/>
        <v>57.430022573363431</v>
      </c>
      <c r="H29" s="185">
        <f t="shared" si="8"/>
        <v>81.481361426256072</v>
      </c>
      <c r="J29" s="183">
        <f>MEDIAN(J24:J26)</f>
        <v>4.3983251668696477</v>
      </c>
      <c r="K29" s="184">
        <f t="shared" ref="K29:M29" si="9">MEDIAN(K24:K26)</f>
        <v>39.216184971098265</v>
      </c>
      <c r="L29" s="184">
        <f t="shared" si="9"/>
        <v>45.944018058690745</v>
      </c>
      <c r="M29" s="185">
        <f t="shared" si="9"/>
        <v>71.324599708879191</v>
      </c>
    </row>
    <row r="32" spans="1:13" ht="18" customHeight="1" x14ac:dyDescent="0.4">
      <c r="A32" t="s">
        <v>15</v>
      </c>
      <c r="B32" s="45" t="s">
        <v>315</v>
      </c>
    </row>
    <row r="33" spans="1:14" ht="18" customHeight="1" x14ac:dyDescent="0.4">
      <c r="B33" s="45"/>
      <c r="E33" s="170">
        <v>2026</v>
      </c>
      <c r="F33" s="122"/>
      <c r="G33" s="122"/>
      <c r="H33" s="122"/>
      <c r="J33" s="154">
        <f>1+E33</f>
        <v>2027</v>
      </c>
      <c r="K33" s="122"/>
      <c r="L33" s="122"/>
      <c r="M33" s="122"/>
    </row>
    <row r="34" spans="1:14" ht="4.95" customHeight="1" x14ac:dyDescent="0.4">
      <c r="B34" s="45"/>
      <c r="E34" s="170"/>
      <c r="F34" s="122"/>
      <c r="G34" s="122"/>
      <c r="H34" s="122"/>
      <c r="J34" s="154"/>
      <c r="K34" s="122"/>
      <c r="L34" s="122"/>
      <c r="M34" s="122"/>
    </row>
    <row r="35" spans="1:14" ht="18" customHeight="1" x14ac:dyDescent="0.3">
      <c r="E35" s="161" t="s">
        <v>309</v>
      </c>
      <c r="F35" s="162" t="s">
        <v>308</v>
      </c>
      <c r="G35" s="162" t="s">
        <v>310</v>
      </c>
      <c r="H35" s="163" t="s">
        <v>311</v>
      </c>
      <c r="J35" s="161" t="s">
        <v>309</v>
      </c>
      <c r="K35" s="162" t="s">
        <v>308</v>
      </c>
      <c r="L35" s="162" t="s">
        <v>310</v>
      </c>
      <c r="M35" s="163" t="s">
        <v>311</v>
      </c>
    </row>
    <row r="36" spans="1:14" ht="18" customHeight="1" x14ac:dyDescent="0.3">
      <c r="B36" t="s">
        <v>318</v>
      </c>
      <c r="E36" s="187">
        <f>E28*E13</f>
        <v>71039.40573929924</v>
      </c>
      <c r="F36" s="32">
        <f>F28*F13</f>
        <v>96869.827645018275</v>
      </c>
      <c r="G36" s="32">
        <f>G28*G13</f>
        <v>105122.12540752391</v>
      </c>
      <c r="H36" s="71">
        <f>H28*H13</f>
        <v>149933.36910187837</v>
      </c>
      <c r="J36" s="187">
        <f>J28*J13</f>
        <v>66899.846954840643</v>
      </c>
      <c r="K36" s="32">
        <f>K28*K13</f>
        <v>95013.206633074835</v>
      </c>
      <c r="L36" s="32">
        <f>L28*L13</f>
        <v>100922.87791046548</v>
      </c>
      <c r="M36" s="71">
        <f>M28*M13</f>
        <v>123212.36910061125</v>
      </c>
    </row>
    <row r="37" spans="1:14" ht="18" customHeight="1" x14ac:dyDescent="0.3">
      <c r="B37" t="s">
        <v>268</v>
      </c>
      <c r="E37" s="187">
        <v>407</v>
      </c>
      <c r="F37" s="32">
        <v>407</v>
      </c>
      <c r="G37" s="32">
        <v>407</v>
      </c>
      <c r="H37" s="71"/>
      <c r="J37" s="187">
        <v>407</v>
      </c>
      <c r="K37" s="32">
        <v>407</v>
      </c>
      <c r="L37" s="32">
        <v>407</v>
      </c>
      <c r="M37" s="71"/>
    </row>
    <row r="38" spans="1:14" ht="18" customHeight="1" x14ac:dyDescent="0.3">
      <c r="B38" t="s">
        <v>291</v>
      </c>
      <c r="E38" s="187">
        <v>3134</v>
      </c>
      <c r="F38" s="32">
        <v>3134</v>
      </c>
      <c r="G38" s="32">
        <v>3134</v>
      </c>
      <c r="H38" s="71"/>
      <c r="J38" s="187">
        <v>3134</v>
      </c>
      <c r="K38" s="32">
        <v>3134</v>
      </c>
      <c r="L38" s="32">
        <v>3134</v>
      </c>
      <c r="M38" s="71"/>
    </row>
    <row r="39" spans="1:14" ht="18" customHeight="1" x14ac:dyDescent="0.3">
      <c r="B39" t="s">
        <v>280</v>
      </c>
      <c r="E39" s="187">
        <f>E36-E37+E38</f>
        <v>73766.40573929924</v>
      </c>
      <c r="F39" s="32">
        <f t="shared" ref="F39:G39" si="10">F36-F37+F38</f>
        <v>99596.827645018275</v>
      </c>
      <c r="G39" s="32">
        <f t="shared" si="10"/>
        <v>107849.12540752391</v>
      </c>
      <c r="H39" s="71"/>
      <c r="J39" s="187">
        <f>J36-J37+J38</f>
        <v>69626.846954840643</v>
      </c>
      <c r="K39" s="32">
        <f t="shared" ref="K39" si="11">K36-K37+K38</f>
        <v>97740.206633074835</v>
      </c>
      <c r="L39" s="32">
        <f t="shared" ref="L39" si="12">L36-L37+L38</f>
        <v>103649.87791046548</v>
      </c>
      <c r="M39" s="71"/>
    </row>
    <row r="40" spans="1:14" ht="18" customHeight="1" x14ac:dyDescent="0.3">
      <c r="B40" t="s">
        <v>317</v>
      </c>
      <c r="E40" s="187">
        <v>72.739999999999995</v>
      </c>
      <c r="F40" s="32">
        <v>72.739999999999995</v>
      </c>
      <c r="G40" s="32">
        <v>72.739999999999995</v>
      </c>
      <c r="H40" s="71">
        <v>72.739999999999995</v>
      </c>
      <c r="J40" s="187">
        <v>72.739999999999995</v>
      </c>
      <c r="K40" s="32">
        <v>72.739999999999995</v>
      </c>
      <c r="L40" s="32">
        <v>72.739999999999995</v>
      </c>
      <c r="M40" s="71">
        <v>72.739999999999995</v>
      </c>
    </row>
    <row r="41" spans="1:14" ht="18" customHeight="1" x14ac:dyDescent="0.3">
      <c r="A41" t="s">
        <v>15</v>
      </c>
      <c r="B41" s="1" t="s">
        <v>293</v>
      </c>
      <c r="C41" s="1"/>
      <c r="D41" s="1"/>
      <c r="E41" s="188">
        <f>E39/E40</f>
        <v>1014.1106095586919</v>
      </c>
      <c r="F41" s="88">
        <f t="shared" ref="F41:G41" si="13">F39/F40</f>
        <v>1369.216767184744</v>
      </c>
      <c r="G41" s="88">
        <f t="shared" si="13"/>
        <v>1482.6660078020886</v>
      </c>
      <c r="H41" s="89">
        <f>H36/H40</f>
        <v>2061.2231111063843</v>
      </c>
      <c r="I41" s="1"/>
      <c r="J41" s="188">
        <f>J39/J40</f>
        <v>957.20163534287394</v>
      </c>
      <c r="K41" s="88">
        <f>K39/K40</f>
        <v>1343.692694983157</v>
      </c>
      <c r="L41" s="88">
        <f t="shared" ref="L41" si="14">L39/L40</f>
        <v>1424.9364573888574</v>
      </c>
      <c r="M41" s="89">
        <f>M36/M40</f>
        <v>1693.8736472451369</v>
      </c>
      <c r="N41" s="1"/>
    </row>
    <row r="44" spans="1:14" ht="18" customHeight="1" x14ac:dyDescent="0.4">
      <c r="B44" s="45" t="s">
        <v>316</v>
      </c>
    </row>
    <row r="45" spans="1:14" ht="18" customHeight="1" x14ac:dyDescent="0.3">
      <c r="E45" s="170">
        <v>2026</v>
      </c>
      <c r="F45" s="122"/>
      <c r="G45" s="122"/>
      <c r="H45" s="122"/>
      <c r="J45" s="154">
        <f>1+E45</f>
        <v>2027</v>
      </c>
      <c r="K45" s="122"/>
      <c r="L45" s="122"/>
      <c r="M45" s="122"/>
    </row>
    <row r="46" spans="1:14" ht="4.95" customHeight="1" x14ac:dyDescent="0.3">
      <c r="E46" s="170"/>
      <c r="F46" s="122"/>
      <c r="G46" s="122"/>
      <c r="H46" s="122"/>
      <c r="J46" s="154"/>
      <c r="K46" s="122"/>
      <c r="L46" s="122"/>
      <c r="M46" s="122"/>
    </row>
    <row r="47" spans="1:14" ht="18" customHeight="1" x14ac:dyDescent="0.3">
      <c r="E47" s="161" t="s">
        <v>309</v>
      </c>
      <c r="F47" s="162" t="s">
        <v>308</v>
      </c>
      <c r="G47" s="162" t="s">
        <v>310</v>
      </c>
      <c r="H47" s="163" t="s">
        <v>311</v>
      </c>
      <c r="J47" s="161" t="s">
        <v>309</v>
      </c>
      <c r="K47" s="162" t="s">
        <v>308</v>
      </c>
      <c r="L47" s="162" t="s">
        <v>310</v>
      </c>
      <c r="M47" s="163" t="s">
        <v>311</v>
      </c>
    </row>
    <row r="48" spans="1:14" ht="18" customHeight="1" x14ac:dyDescent="0.3">
      <c r="B48" t="s">
        <v>318</v>
      </c>
      <c r="E48" s="187">
        <f>E29*E13</f>
        <v>59220.633443793013</v>
      </c>
      <c r="F48" s="32">
        <f>F29*F13</f>
        <v>100535.98300970874</v>
      </c>
      <c r="G48" s="32">
        <f>G29*G13</f>
        <v>114285.74492099322</v>
      </c>
      <c r="H48" s="71">
        <f>H29*H13</f>
        <v>149762.74230145867</v>
      </c>
      <c r="J48" s="187">
        <f>J29*J13</f>
        <v>59768.972642346649</v>
      </c>
      <c r="K48" s="32">
        <f>K29*K13</f>
        <v>99896.335081695375</v>
      </c>
      <c r="L48" s="32">
        <f>L29*L13</f>
        <v>99712.819291267719</v>
      </c>
      <c r="M48" s="71">
        <f>M29*M13</f>
        <v>121867.91645275071</v>
      </c>
    </row>
    <row r="49" spans="1:14" ht="18" customHeight="1" x14ac:dyDescent="0.3">
      <c r="B49" t="s">
        <v>268</v>
      </c>
      <c r="E49" s="187">
        <v>407</v>
      </c>
      <c r="F49" s="32">
        <v>407</v>
      </c>
      <c r="G49" s="32">
        <v>407</v>
      </c>
      <c r="H49" s="71"/>
      <c r="J49" s="187">
        <v>407</v>
      </c>
      <c r="K49" s="32">
        <v>407</v>
      </c>
      <c r="L49" s="32">
        <v>407</v>
      </c>
      <c r="M49" s="71"/>
    </row>
    <row r="50" spans="1:14" ht="18" customHeight="1" x14ac:dyDescent="0.3">
      <c r="B50" t="s">
        <v>291</v>
      </c>
      <c r="E50" s="187">
        <v>3134</v>
      </c>
      <c r="F50" s="32">
        <v>3134</v>
      </c>
      <c r="G50" s="32">
        <v>3134</v>
      </c>
      <c r="H50" s="71"/>
      <c r="J50" s="187">
        <v>3134</v>
      </c>
      <c r="K50" s="32">
        <v>3134</v>
      </c>
      <c r="L50" s="32">
        <v>3134</v>
      </c>
      <c r="M50" s="71"/>
    </row>
    <row r="51" spans="1:14" ht="18" customHeight="1" x14ac:dyDescent="0.3">
      <c r="B51" t="s">
        <v>280</v>
      </c>
      <c r="E51" s="187">
        <f>E48-E49+E50</f>
        <v>61947.633443793013</v>
      </c>
      <c r="F51" s="32">
        <f>F48-F49+F50</f>
        <v>103262.98300970874</v>
      </c>
      <c r="G51" s="32">
        <f t="shared" ref="G51" si="15">G48-G49+G50</f>
        <v>117012.74492099322</v>
      </c>
      <c r="H51" s="71"/>
      <c r="J51" s="187">
        <f>J48-J49+J50</f>
        <v>62495.972642346649</v>
      </c>
      <c r="K51" s="32">
        <f t="shared" ref="K51" si="16">K48-K49+K50</f>
        <v>102623.33508169538</v>
      </c>
      <c r="L51" s="32">
        <f t="shared" ref="L51" si="17">L48-L49+L50</f>
        <v>102439.81929126772</v>
      </c>
      <c r="M51" s="71"/>
    </row>
    <row r="52" spans="1:14" ht="18" customHeight="1" x14ac:dyDescent="0.3">
      <c r="B52" t="s">
        <v>317</v>
      </c>
      <c r="E52" s="187">
        <v>72.739999999999995</v>
      </c>
      <c r="F52" s="32">
        <v>72.739999999999995</v>
      </c>
      <c r="G52" s="32">
        <v>72.739999999999995</v>
      </c>
      <c r="H52" s="71">
        <v>72.739999999999995</v>
      </c>
      <c r="J52" s="187">
        <v>72.739999999999995</v>
      </c>
      <c r="K52" s="32">
        <v>72.739999999999995</v>
      </c>
      <c r="L52" s="32">
        <v>72.739999999999995</v>
      </c>
      <c r="M52" s="71">
        <v>72.739999999999995</v>
      </c>
    </row>
    <row r="53" spans="1:14" ht="18" customHeight="1" x14ac:dyDescent="0.3">
      <c r="A53" t="s">
        <v>15</v>
      </c>
      <c r="B53" s="1" t="s">
        <v>293</v>
      </c>
      <c r="C53" s="1"/>
      <c r="D53" s="1"/>
      <c r="E53" s="188">
        <f>E51/E52</f>
        <v>851.63092444037693</v>
      </c>
      <c r="F53" s="88">
        <f t="shared" ref="F53:G53" si="18">F51/F52</f>
        <v>1419.6175833064167</v>
      </c>
      <c r="G53" s="88">
        <f t="shared" si="18"/>
        <v>1608.6437300109051</v>
      </c>
      <c r="H53" s="89">
        <f>H48/H52</f>
        <v>2058.8774030995146</v>
      </c>
      <c r="I53" s="1"/>
      <c r="J53" s="188">
        <f>J51/J52</f>
        <v>859.16926921015465</v>
      </c>
      <c r="K53" s="88">
        <f t="shared" ref="K53" si="19">K51/K52</f>
        <v>1410.8239631797551</v>
      </c>
      <c r="L53" s="88">
        <f t="shared" ref="L53" si="20">L51/L52</f>
        <v>1408.3010625689817</v>
      </c>
      <c r="M53" s="89">
        <f>M48/M52</f>
        <v>1675.3906578601968</v>
      </c>
      <c r="N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6849-A3E3-4F31-BF9B-67B59E06ED80}">
  <dimension ref="B1:U93"/>
  <sheetViews>
    <sheetView showGridLines="0" zoomScale="86" zoomScaleNormal="184" workbookViewId="0">
      <selection activeCell="N1" sqref="N1"/>
    </sheetView>
  </sheetViews>
  <sheetFormatPr defaultRowHeight="18" customHeight="1" x14ac:dyDescent="0.3"/>
  <cols>
    <col min="1" max="1" width="2.77734375" customWidth="1"/>
    <col min="2" max="2" width="50.77734375" customWidth="1"/>
  </cols>
  <sheetData>
    <row r="1" spans="2:21" ht="28.8" x14ac:dyDescent="0.55000000000000004">
      <c r="B1" s="267" t="s">
        <v>357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2:21" ht="21" x14ac:dyDescent="0.4">
      <c r="B2" s="268" t="s">
        <v>366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2:21" ht="14.4" x14ac:dyDescent="0.3"/>
    <row r="4" spans="2:21" ht="14.4" x14ac:dyDescent="0.3">
      <c r="B4" s="269" t="s">
        <v>17</v>
      </c>
      <c r="C4" s="24"/>
      <c r="D4" s="270">
        <v>2017</v>
      </c>
      <c r="E4" s="270">
        <v>2018</v>
      </c>
      <c r="F4" s="270">
        <v>2019</v>
      </c>
      <c r="G4" s="270">
        <v>2020</v>
      </c>
      <c r="H4" s="270">
        <v>2021</v>
      </c>
      <c r="I4" s="270">
        <v>2022</v>
      </c>
      <c r="J4" s="270">
        <v>2023</v>
      </c>
      <c r="K4" s="270">
        <v>2024</v>
      </c>
      <c r="L4" s="270">
        <v>2025</v>
      </c>
      <c r="M4" s="270">
        <v>2026</v>
      </c>
      <c r="N4" s="271">
        <v>2027</v>
      </c>
      <c r="O4" s="271">
        <v>2028</v>
      </c>
      <c r="P4" s="271">
        <v>2029</v>
      </c>
      <c r="Q4" s="271">
        <v>2030</v>
      </c>
      <c r="R4" s="271">
        <v>2031</v>
      </c>
      <c r="S4" s="271">
        <v>2032</v>
      </c>
      <c r="T4" s="271">
        <v>2033</v>
      </c>
      <c r="U4" s="272">
        <v>2034</v>
      </c>
    </row>
    <row r="5" spans="2:21" ht="14.4" x14ac:dyDescent="0.3">
      <c r="B5" s="273"/>
      <c r="U5" s="274"/>
    </row>
    <row r="6" spans="2:21" ht="18" customHeight="1" x14ac:dyDescent="0.3">
      <c r="B6" s="273" t="s">
        <v>358</v>
      </c>
      <c r="D6" s="196">
        <v>8817.5</v>
      </c>
      <c r="E6" s="196">
        <v>8590.6</v>
      </c>
      <c r="F6" s="196">
        <v>9340.7999999999993</v>
      </c>
      <c r="G6" s="196">
        <v>9325.4</v>
      </c>
      <c r="H6" s="196">
        <v>8131.3</v>
      </c>
      <c r="I6" s="196">
        <v>9712.4</v>
      </c>
      <c r="J6" s="196">
        <v>10612</v>
      </c>
      <c r="K6" s="196">
        <v>11321</v>
      </c>
      <c r="L6" s="196">
        <v>12069</v>
      </c>
      <c r="M6" s="196">
        <v>12467</v>
      </c>
      <c r="N6" s="196">
        <v>13589.03</v>
      </c>
      <c r="O6" s="196">
        <v>14812.042700000002</v>
      </c>
      <c r="P6" s="196">
        <v>15997.006116000002</v>
      </c>
      <c r="Q6" s="196">
        <v>17116.796544120003</v>
      </c>
      <c r="R6" s="196">
        <v>18229.388319487804</v>
      </c>
      <c r="S6" s="196">
        <v>19414.298560254509</v>
      </c>
      <c r="T6" s="196">
        <v>20676.227966671049</v>
      </c>
      <c r="U6" s="275">
        <v>22020.182784504665</v>
      </c>
    </row>
    <row r="7" spans="2:21" ht="18" customHeight="1" x14ac:dyDescent="0.3">
      <c r="B7" s="276" t="s">
        <v>359</v>
      </c>
      <c r="C7" s="277"/>
      <c r="D7" s="263"/>
      <c r="E7" s="264">
        <v>-2.57329174936206E-2</v>
      </c>
      <c r="F7" s="264">
        <v>8.7328009685004412E-2</v>
      </c>
      <c r="G7" s="264">
        <v>-1.6486810551558364E-3</v>
      </c>
      <c r="H7" s="264">
        <v>-0.12804812662191428</v>
      </c>
      <c r="I7" s="264">
        <v>0.19444615252173691</v>
      </c>
      <c r="J7" s="264">
        <v>9.2623862279148345E-2</v>
      </c>
      <c r="K7" s="264">
        <v>6.6811157180550321E-2</v>
      </c>
      <c r="L7" s="264">
        <v>6.6071901775461531E-2</v>
      </c>
      <c r="M7" s="264">
        <v>3.2977048637003896E-2</v>
      </c>
      <c r="N7" s="264">
        <v>9.0000000000000052E-2</v>
      </c>
      <c r="O7" s="264">
        <v>9.000000000000008E-2</v>
      </c>
      <c r="P7" s="264">
        <v>8.0000000000000029E-2</v>
      </c>
      <c r="Q7" s="264">
        <v>7.0000000000000034E-2</v>
      </c>
      <c r="R7" s="264">
        <v>6.5000000000000016E-2</v>
      </c>
      <c r="S7" s="264">
        <v>6.4999999999999877E-2</v>
      </c>
      <c r="T7" s="264">
        <v>6.4999999999999877E-2</v>
      </c>
      <c r="U7" s="278">
        <v>6.4999999999999863E-2</v>
      </c>
    </row>
    <row r="8" spans="2:21" ht="3" customHeight="1" x14ac:dyDescent="0.3">
      <c r="B8" s="276"/>
      <c r="C8" s="277"/>
      <c r="D8" s="263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78"/>
    </row>
    <row r="9" spans="2:21" ht="3" customHeight="1" x14ac:dyDescent="0.3">
      <c r="B9" s="276"/>
      <c r="C9" s="277"/>
      <c r="D9" s="265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79"/>
    </row>
    <row r="10" spans="2:21" ht="18" customHeight="1" x14ac:dyDescent="0.3">
      <c r="B10" s="273" t="s">
        <v>213</v>
      </c>
      <c r="D10" s="196">
        <v>5151.3</v>
      </c>
      <c r="E10" s="196">
        <v>4557.3</v>
      </c>
      <c r="F10" s="196">
        <v>4966.3999999999996</v>
      </c>
      <c r="G10" s="196">
        <v>5370</v>
      </c>
      <c r="H10" s="196">
        <v>4807.5</v>
      </c>
      <c r="I10" s="196">
        <v>5680.9</v>
      </c>
      <c r="J10" s="196">
        <v>6503</v>
      </c>
      <c r="K10" s="196">
        <v>6542</v>
      </c>
      <c r="L10" s="196">
        <v>6860</v>
      </c>
      <c r="M10" s="196">
        <v>6674</v>
      </c>
      <c r="N10" s="196">
        <v>7406.0213499999991</v>
      </c>
      <c r="O10" s="196">
        <v>7998.5030580000011</v>
      </c>
      <c r="P10" s="196">
        <v>8558.3982720599997</v>
      </c>
      <c r="Q10" s="196">
        <v>9071.9021683836017</v>
      </c>
      <c r="R10" s="196">
        <v>9661.5758093285367</v>
      </c>
      <c r="S10" s="196">
        <v>10289.578236934891</v>
      </c>
      <c r="T10" s="196">
        <v>10958.400822335656</v>
      </c>
      <c r="U10" s="275">
        <v>11670.696875787473</v>
      </c>
    </row>
    <row r="11" spans="2:21" ht="18" customHeight="1" x14ac:dyDescent="0.3">
      <c r="B11" s="276" t="s">
        <v>359</v>
      </c>
      <c r="C11" s="277"/>
      <c r="D11" s="263"/>
      <c r="E11" s="264">
        <v>-0.11531069827033952</v>
      </c>
      <c r="F11" s="264">
        <v>8.9768064424110644E-2</v>
      </c>
      <c r="G11" s="264">
        <v>8.1266108247422766E-2</v>
      </c>
      <c r="H11" s="264">
        <v>-0.10474860335195531</v>
      </c>
      <c r="I11" s="264">
        <v>0.18167446697867906</v>
      </c>
      <c r="J11" s="264">
        <v>0.14471298561847601</v>
      </c>
      <c r="K11" s="264">
        <v>5.9972320467476551E-3</v>
      </c>
      <c r="L11" s="264">
        <v>4.8608988077040657E-2</v>
      </c>
      <c r="M11" s="264">
        <v>-2.7113702623906704E-2</v>
      </c>
      <c r="N11" s="264">
        <v>0.10968255169313741</v>
      </c>
      <c r="O11" s="264">
        <v>8.0000000000000293E-2</v>
      </c>
      <c r="P11" s="264">
        <v>6.9999999999999812E-2</v>
      </c>
      <c r="Q11" s="264">
        <v>6.0000000000000241E-2</v>
      </c>
      <c r="R11" s="264">
        <v>6.5000000000000099E-2</v>
      </c>
      <c r="S11" s="264">
        <v>6.4999999999999919E-2</v>
      </c>
      <c r="T11" s="264">
        <v>6.4999999999999725E-2</v>
      </c>
      <c r="U11" s="278">
        <v>6.4999999999999947E-2</v>
      </c>
    </row>
    <row r="12" spans="2:21" ht="3" customHeight="1" x14ac:dyDescent="0.3">
      <c r="B12" s="276"/>
      <c r="C12" s="277"/>
      <c r="D12" s="263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78"/>
    </row>
    <row r="13" spans="2:21" ht="3" customHeight="1" x14ac:dyDescent="0.3">
      <c r="B13" s="276"/>
      <c r="C13" s="277"/>
      <c r="D13" s="265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79"/>
    </row>
    <row r="14" spans="2:21" ht="18" customHeight="1" x14ac:dyDescent="0.3">
      <c r="B14" s="273" t="s">
        <v>30</v>
      </c>
      <c r="D14" s="196">
        <v>3666.2</v>
      </c>
      <c r="E14" s="196">
        <v>4033.3</v>
      </c>
      <c r="F14" s="196">
        <v>4374.3999999999996</v>
      </c>
      <c r="G14" s="196">
        <v>3955.3999999999996</v>
      </c>
      <c r="H14" s="196">
        <v>3323.8</v>
      </c>
      <c r="I14" s="196">
        <v>4031.5</v>
      </c>
      <c r="J14" s="196">
        <v>4109</v>
      </c>
      <c r="K14" s="196">
        <v>4779</v>
      </c>
      <c r="L14" s="196">
        <v>5209</v>
      </c>
      <c r="M14" s="196">
        <v>5793</v>
      </c>
      <c r="N14" s="196">
        <v>6183.0086500000016</v>
      </c>
      <c r="O14" s="196">
        <v>6813.5396420000006</v>
      </c>
      <c r="P14" s="196">
        <v>7438.6078439400026</v>
      </c>
      <c r="Q14" s="196">
        <v>8044.8943757364013</v>
      </c>
      <c r="R14" s="196">
        <v>8567.8125101592668</v>
      </c>
      <c r="S14" s="196">
        <v>9124.7203233196178</v>
      </c>
      <c r="T14" s="196">
        <v>9717.8271443353933</v>
      </c>
      <c r="U14" s="275">
        <v>10349.485908717192</v>
      </c>
    </row>
    <row r="15" spans="2:21" ht="18" customHeight="1" x14ac:dyDescent="0.3">
      <c r="B15" s="276" t="s">
        <v>361</v>
      </c>
      <c r="C15" s="277"/>
      <c r="D15" s="264">
        <v>0.41578678763821941</v>
      </c>
      <c r="E15" s="264">
        <v>0.4695015482038507</v>
      </c>
      <c r="F15" s="264">
        <v>0.46831106543336759</v>
      </c>
      <c r="G15" s="264">
        <v>0.42415338752225101</v>
      </c>
      <c r="H15" s="264">
        <v>0.40876612595771894</v>
      </c>
      <c r="I15" s="264">
        <v>0.41508792883324414</v>
      </c>
      <c r="J15" s="264">
        <v>0.38720316622691292</v>
      </c>
      <c r="K15" s="264">
        <v>0.42213585372316931</v>
      </c>
      <c r="L15" s="264">
        <v>0.43160162399536001</v>
      </c>
      <c r="M15" s="264">
        <v>0.46466672014117272</v>
      </c>
      <c r="N15" s="264">
        <v>0.45500000000000007</v>
      </c>
      <c r="O15" s="264">
        <v>0.45999999999999996</v>
      </c>
      <c r="P15" s="264">
        <v>0.46500000000000008</v>
      </c>
      <c r="Q15" s="264">
        <v>0.47</v>
      </c>
      <c r="R15" s="264">
        <v>0.47</v>
      </c>
      <c r="S15" s="264">
        <v>0.46999999999999992</v>
      </c>
      <c r="T15" s="264">
        <v>0.47000000000000003</v>
      </c>
      <c r="U15" s="278">
        <v>0.47</v>
      </c>
    </row>
    <row r="16" spans="2:21" ht="18" customHeight="1" x14ac:dyDescent="0.3">
      <c r="B16" s="276" t="s">
        <v>359</v>
      </c>
      <c r="C16" s="277"/>
      <c r="D16" s="263"/>
      <c r="E16" s="264">
        <v>0.100130925754187</v>
      </c>
      <c r="F16" s="264">
        <v>8.4570946867329341E-2</v>
      </c>
      <c r="G16" s="264">
        <v>-9.5784564740307249E-2</v>
      </c>
      <c r="H16" s="264">
        <v>-0.15968043687111277</v>
      </c>
      <c r="I16" s="264">
        <v>0.21291894819182855</v>
      </c>
      <c r="J16" s="264">
        <v>1.9223614039439414E-2</v>
      </c>
      <c r="K16" s="264">
        <v>0.16305670479435386</v>
      </c>
      <c r="L16" s="264">
        <v>8.9976982632349864E-2</v>
      </c>
      <c r="M16" s="264">
        <v>0.11211364945287003</v>
      </c>
      <c r="N16" s="264">
        <v>6.7324123942689731E-2</v>
      </c>
      <c r="O16" s="264">
        <v>0.1019780219780218</v>
      </c>
      <c r="P16" s="264">
        <v>9.1739130434782878E-2</v>
      </c>
      <c r="Q16" s="264">
        <v>8.1505376344085834E-2</v>
      </c>
      <c r="R16" s="264">
        <v>6.4999999999999919E-2</v>
      </c>
      <c r="S16" s="264">
        <v>6.499999999999985E-2</v>
      </c>
      <c r="T16" s="264">
        <v>6.500000000000003E-2</v>
      </c>
      <c r="U16" s="278">
        <v>6.499999999999978E-2</v>
      </c>
    </row>
    <row r="17" spans="2:21" ht="3" customHeight="1" x14ac:dyDescent="0.3">
      <c r="B17" s="276"/>
      <c r="C17" s="277"/>
      <c r="D17" s="263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78"/>
    </row>
    <row r="18" spans="2:21" ht="3" customHeight="1" x14ac:dyDescent="0.3">
      <c r="B18" s="276"/>
      <c r="C18" s="277"/>
      <c r="D18" s="265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79"/>
    </row>
    <row r="19" spans="2:21" ht="18" customHeight="1" x14ac:dyDescent="0.3">
      <c r="B19" s="273" t="s">
        <v>360</v>
      </c>
      <c r="D19" s="196">
        <v>991.39999999999964</v>
      </c>
      <c r="E19" s="196">
        <v>1209.1999999999998</v>
      </c>
      <c r="F19" s="196">
        <v>1393.7999999999993</v>
      </c>
      <c r="G19" s="196">
        <v>1570.9999999999995</v>
      </c>
      <c r="H19" s="196">
        <v>1051.4000000000001</v>
      </c>
      <c r="I19" s="196">
        <v>1595.1999999999998</v>
      </c>
      <c r="J19" s="196">
        <v>1417</v>
      </c>
      <c r="K19" s="196">
        <v>2000</v>
      </c>
      <c r="L19" s="196">
        <v>2236</v>
      </c>
      <c r="M19" s="196">
        <v>2279</v>
      </c>
      <c r="N19" s="196">
        <v>2547.3241508657065</v>
      </c>
      <c r="O19" s="196">
        <v>2850.6435379436189</v>
      </c>
      <c r="P19" s="196">
        <v>3158.6800515591103</v>
      </c>
      <c r="Q19" s="196">
        <v>3465.3716378888457</v>
      </c>
      <c r="R19" s="196">
        <v>3690.6207943516201</v>
      </c>
      <c r="S19" s="196">
        <v>3930.5111459844748</v>
      </c>
      <c r="T19" s="196">
        <v>4185.9943704734669</v>
      </c>
      <c r="U19" s="275">
        <v>4458.0840045542409</v>
      </c>
    </row>
    <row r="20" spans="2:21" ht="18" customHeight="1" x14ac:dyDescent="0.3">
      <c r="B20" s="280" t="s">
        <v>362</v>
      </c>
      <c r="C20" s="281"/>
      <c r="D20" s="264">
        <v>0.11243549759001981</v>
      </c>
      <c r="E20" s="264">
        <v>0.14075850348054847</v>
      </c>
      <c r="F20" s="264">
        <v>0.14921634121274402</v>
      </c>
      <c r="G20" s="264">
        <v>0.16846462350140473</v>
      </c>
      <c r="H20" s="264">
        <v>0.1293028175076556</v>
      </c>
      <c r="I20" s="264">
        <v>0.16424364729623986</v>
      </c>
      <c r="J20" s="264">
        <v>0.13352808141726347</v>
      </c>
      <c r="K20" s="264">
        <v>0.17666283897182228</v>
      </c>
      <c r="L20" s="264">
        <v>0.18526804209130832</v>
      </c>
      <c r="M20" s="264">
        <v>0.18280259886099301</v>
      </c>
      <c r="N20" s="264">
        <v>0.18745445045494097</v>
      </c>
      <c r="O20" s="264">
        <v>0.19245445045494086</v>
      </c>
      <c r="P20" s="264">
        <v>0.19745445045494098</v>
      </c>
      <c r="Q20" s="264">
        <v>0.20245445045494084</v>
      </c>
      <c r="R20" s="264">
        <v>0.20245445045494082</v>
      </c>
      <c r="S20" s="264">
        <v>0.20245445045494079</v>
      </c>
      <c r="T20" s="264">
        <v>0.20245445045494087</v>
      </c>
      <c r="U20" s="278">
        <v>0.20245445045494084</v>
      </c>
    </row>
    <row r="21" spans="2:21" ht="18" customHeight="1" x14ac:dyDescent="0.3">
      <c r="B21" s="280" t="s">
        <v>359</v>
      </c>
      <c r="C21" s="281"/>
      <c r="D21" s="264"/>
      <c r="E21" s="264">
        <v>0.21968932822271561</v>
      </c>
      <c r="F21" s="264">
        <v>0.15266291763149148</v>
      </c>
      <c r="G21" s="264">
        <v>0.12713445257569261</v>
      </c>
      <c r="H21" s="264">
        <v>-0.33074474856779096</v>
      </c>
      <c r="I21" s="264">
        <v>0.51721514171580718</v>
      </c>
      <c r="J21" s="264">
        <v>-0.11171013039117342</v>
      </c>
      <c r="K21" s="264">
        <v>0.41143260409315457</v>
      </c>
      <c r="L21" s="264">
        <v>0.11799999999999999</v>
      </c>
      <c r="M21" s="264">
        <v>1.9230769230769232E-2</v>
      </c>
      <c r="N21" s="264">
        <v>0.11773767041057769</v>
      </c>
      <c r="O21" s="264">
        <v>0.11907372957416096</v>
      </c>
      <c r="P21" s="264">
        <v>0.10805858730330804</v>
      </c>
      <c r="Q21" s="264">
        <v>9.7094856498160936E-2</v>
      </c>
      <c r="R21" s="264">
        <v>6.4999999999999836E-2</v>
      </c>
      <c r="S21" s="264">
        <v>6.4999999999999808E-2</v>
      </c>
      <c r="T21" s="264">
        <v>6.5000000000000335E-2</v>
      </c>
      <c r="U21" s="278">
        <v>6.4999999999999669E-2</v>
      </c>
    </row>
    <row r="22" spans="2:21" ht="3" customHeight="1" x14ac:dyDescent="0.3">
      <c r="B22" s="280"/>
      <c r="C22" s="281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78"/>
    </row>
    <row r="23" spans="2:21" ht="3" customHeight="1" x14ac:dyDescent="0.3">
      <c r="B23" s="280"/>
      <c r="C23" s="281"/>
      <c r="D23" s="265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79"/>
    </row>
    <row r="24" spans="2:21" ht="18" customHeight="1" x14ac:dyDescent="0.3">
      <c r="B24" s="273" t="s">
        <v>33</v>
      </c>
      <c r="D24" s="196">
        <v>802.79999999999961</v>
      </c>
      <c r="E24" s="196">
        <v>1016.8999999999999</v>
      </c>
      <c r="F24" s="196">
        <v>1179.0999999999992</v>
      </c>
      <c r="G24" s="196">
        <v>1285.6999999999996</v>
      </c>
      <c r="H24" s="196">
        <v>752.30000000000007</v>
      </c>
      <c r="I24" s="196">
        <v>1291.3999999999999</v>
      </c>
      <c r="J24" s="196">
        <v>1134</v>
      </c>
      <c r="K24" s="196">
        <v>1725</v>
      </c>
      <c r="L24" s="196">
        <v>1953</v>
      </c>
      <c r="M24" s="196">
        <v>1990</v>
      </c>
      <c r="N24" s="196">
        <v>2170.3112506157067</v>
      </c>
      <c r="O24" s="196">
        <v>2433.4847989211189</v>
      </c>
      <c r="P24" s="196">
        <v>2700.3359111473101</v>
      </c>
      <c r="Q24" s="196">
        <v>2965.1878550398446</v>
      </c>
      <c r="R24" s="196">
        <v>3148.0789679382733</v>
      </c>
      <c r="S24" s="196">
        <v>3344.6650162987617</v>
      </c>
      <c r="T24" s="196">
        <v>3555.2940669892469</v>
      </c>
      <c r="U24" s="275">
        <v>3780.4994424052056</v>
      </c>
    </row>
    <row r="25" spans="2:21" ht="18" customHeight="1" x14ac:dyDescent="0.3">
      <c r="B25" s="280" t="s">
        <v>333</v>
      </c>
      <c r="C25" s="281"/>
      <c r="D25" s="264">
        <v>9.1046214913524201E-2</v>
      </c>
      <c r="E25" s="264">
        <v>0.11837357111261144</v>
      </c>
      <c r="F25" s="264">
        <v>0.12623115793079814</v>
      </c>
      <c r="G25" s="264">
        <v>0.13787076157591091</v>
      </c>
      <c r="H25" s="264">
        <v>9.2519031397193571E-2</v>
      </c>
      <c r="I25" s="264">
        <v>0.13296404596186318</v>
      </c>
      <c r="J25" s="264">
        <v>0.10686015831134564</v>
      </c>
      <c r="K25" s="264">
        <v>0.15237169861319672</v>
      </c>
      <c r="L25" s="264">
        <v>0.16181953765846382</v>
      </c>
      <c r="M25" s="264">
        <v>0.15962140049731291</v>
      </c>
      <c r="N25" s="264">
        <v>0.1597105349399999</v>
      </c>
      <c r="O25" s="264">
        <v>0.16429096568301943</v>
      </c>
      <c r="P25" s="264">
        <v>0.16880258040574658</v>
      </c>
      <c r="Q25" s="264">
        <v>0.1732326400793992</v>
      </c>
      <c r="R25" s="264">
        <v>0.17269251785990403</v>
      </c>
      <c r="S25" s="264">
        <v>0.17227843725170955</v>
      </c>
      <c r="T25" s="264">
        <v>0.17195080614898359</v>
      </c>
      <c r="U25" s="278">
        <v>0.17168338153239568</v>
      </c>
    </row>
    <row r="26" spans="2:21" ht="18" customHeight="1" x14ac:dyDescent="0.3">
      <c r="B26" s="280" t="s">
        <v>359</v>
      </c>
      <c r="C26" s="281"/>
      <c r="D26" s="264"/>
      <c r="E26" s="264">
        <v>0.26669157947184896</v>
      </c>
      <c r="F26" s="264">
        <v>0.15950437604484155</v>
      </c>
      <c r="G26" s="264">
        <v>9.0407938257993758E-2</v>
      </c>
      <c r="H26" s="264">
        <v>-0.41487127634751475</v>
      </c>
      <c r="I26" s="264">
        <v>0.71660241924764023</v>
      </c>
      <c r="J26" s="264">
        <v>-0.12188322750503321</v>
      </c>
      <c r="K26" s="264">
        <v>0.52116402116402116</v>
      </c>
      <c r="L26" s="264">
        <v>0.13217391304347825</v>
      </c>
      <c r="M26" s="264">
        <v>1.8945212493599591E-2</v>
      </c>
      <c r="N26" s="264">
        <v>9.060866865110892E-2</v>
      </c>
      <c r="O26" s="264">
        <v>0.12126074001171543</v>
      </c>
      <c r="P26" s="264">
        <v>0.1096580148536367</v>
      </c>
      <c r="Q26" s="264">
        <v>9.8081110131222574E-2</v>
      </c>
      <c r="R26" s="264">
        <v>6.1679435448777353E-2</v>
      </c>
      <c r="S26" s="264">
        <v>6.2446352319184564E-2</v>
      </c>
      <c r="T26" s="264">
        <v>6.2974632635578356E-2</v>
      </c>
      <c r="U26" s="278">
        <v>6.3343670361048626E-2</v>
      </c>
    </row>
    <row r="27" spans="2:21" ht="3" customHeight="1" x14ac:dyDescent="0.3">
      <c r="B27" s="280"/>
      <c r="C27" s="281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78"/>
    </row>
    <row r="28" spans="2:21" ht="3" customHeight="1" x14ac:dyDescent="0.3">
      <c r="B28" s="280"/>
      <c r="C28" s="281"/>
      <c r="D28" s="265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79"/>
    </row>
    <row r="29" spans="2:21" ht="18" customHeight="1" x14ac:dyDescent="0.3">
      <c r="B29" s="282" t="s">
        <v>363</v>
      </c>
      <c r="D29" s="196">
        <v>93</v>
      </c>
      <c r="E29" s="196">
        <v>651.9</v>
      </c>
      <c r="F29" s="196">
        <v>683.6</v>
      </c>
      <c r="G29" s="196">
        <v>620.6</v>
      </c>
      <c r="H29" s="196">
        <v>362.10000000000014</v>
      </c>
      <c r="I29" s="196">
        <v>810.6</v>
      </c>
      <c r="J29" s="196">
        <v>1125.8</v>
      </c>
      <c r="K29" s="196">
        <v>1408</v>
      </c>
      <c r="L29" s="196">
        <v>1582</v>
      </c>
      <c r="M29" s="196">
        <v>1838</v>
      </c>
      <c r="N29" s="196">
        <v>1708.6379306742801</v>
      </c>
      <c r="O29" s="196">
        <v>1891.2508056363263</v>
      </c>
      <c r="P29" s="196">
        <v>2118.6320661070326</v>
      </c>
      <c r="Q29" s="196">
        <v>2317.6541727370413</v>
      </c>
      <c r="R29" s="196">
        <v>2489.1952832327938</v>
      </c>
      <c r="S29" s="196">
        <v>2641.1629527579844</v>
      </c>
      <c r="T29" s="196">
        <v>2836.3987102328319</v>
      </c>
      <c r="U29" s="275">
        <v>3013.6050455668183</v>
      </c>
    </row>
    <row r="30" spans="2:21" ht="18" customHeight="1" x14ac:dyDescent="0.3">
      <c r="B30" s="280" t="s">
        <v>364</v>
      </c>
      <c r="C30" s="281"/>
      <c r="D30" s="264">
        <v>1.0547207258293168E-2</v>
      </c>
      <c r="E30" s="264">
        <v>7.5885269946220288E-2</v>
      </c>
      <c r="F30" s="264">
        <v>7.3184309695101077E-2</v>
      </c>
      <c r="G30" s="264">
        <v>6.6549424153387521E-2</v>
      </c>
      <c r="H30" s="264">
        <v>4.4531624709456069E-2</v>
      </c>
      <c r="I30" s="264">
        <v>8.3460318767760805E-2</v>
      </c>
      <c r="J30" s="264">
        <v>0.10608744817188089</v>
      </c>
      <c r="K30" s="264">
        <v>0.12437063863616288</v>
      </c>
      <c r="L30" s="264">
        <v>0.13107962548678431</v>
      </c>
      <c r="M30" s="264">
        <v>0.14742921312264379</v>
      </c>
      <c r="N30" s="264">
        <v>0.12573656329217611</v>
      </c>
      <c r="O30" s="264">
        <v>0.12768332119622677</v>
      </c>
      <c r="P30" s="264">
        <v>0.13243928587287365</v>
      </c>
      <c r="Q30" s="264">
        <v>0.13540233225084436</v>
      </c>
      <c r="R30" s="264">
        <v>0.13654848092581165</v>
      </c>
      <c r="S30" s="264">
        <v>0.13604215184807381</v>
      </c>
      <c r="T30" s="264">
        <v>0.13718163268488584</v>
      </c>
      <c r="U30" s="278">
        <v>0.13685649547320994</v>
      </c>
    </row>
    <row r="31" spans="2:21" ht="18" customHeight="1" x14ac:dyDescent="0.3">
      <c r="B31" s="283" t="s">
        <v>359</v>
      </c>
      <c r="C31" s="151"/>
      <c r="D31" s="284"/>
      <c r="E31" s="285">
        <v>6.0096774193548388</v>
      </c>
      <c r="F31" s="285">
        <v>4.862709004448542E-2</v>
      </c>
      <c r="G31" s="285">
        <v>-9.2159157401989461E-2</v>
      </c>
      <c r="H31" s="285">
        <v>-0.41653238801160147</v>
      </c>
      <c r="I31" s="285">
        <v>1.2386081193040588</v>
      </c>
      <c r="J31" s="285">
        <v>0.38884776708610896</v>
      </c>
      <c r="K31" s="285">
        <v>0.25066619292947245</v>
      </c>
      <c r="L31" s="285">
        <v>0.12357954545454546</v>
      </c>
      <c r="M31" s="285">
        <v>0.16182048040455121</v>
      </c>
      <c r="N31" s="285">
        <v>-7.0381974605941158E-2</v>
      </c>
      <c r="O31" s="285">
        <v>0.10687628530520892</v>
      </c>
      <c r="P31" s="285">
        <v>0.12022797811536273</v>
      </c>
      <c r="Q31" s="285">
        <v>9.3938966474584717E-2</v>
      </c>
      <c r="R31" s="285">
        <v>7.4014972774462923E-2</v>
      </c>
      <c r="S31" s="285">
        <v>6.1050922982557446E-2</v>
      </c>
      <c r="T31" s="285">
        <v>7.392037559476454E-2</v>
      </c>
      <c r="U31" s="286">
        <v>6.2475820023003732E-2</v>
      </c>
    </row>
    <row r="33" spans="2:21" ht="18" customHeight="1" x14ac:dyDescent="0.4">
      <c r="B33" s="268" t="s">
        <v>365</v>
      </c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</row>
    <row r="35" spans="2:21" ht="14.4" x14ac:dyDescent="0.3">
      <c r="B35" s="269" t="s">
        <v>17</v>
      </c>
      <c r="C35" s="24"/>
      <c r="D35" s="270">
        <v>2017</v>
      </c>
      <c r="E35" s="270">
        <v>2018</v>
      </c>
      <c r="F35" s="270">
        <v>2019</v>
      </c>
      <c r="G35" s="270">
        <v>2020</v>
      </c>
      <c r="H35" s="270">
        <v>2021</v>
      </c>
      <c r="I35" s="270">
        <v>2022</v>
      </c>
      <c r="J35" s="270">
        <v>2023</v>
      </c>
      <c r="K35" s="270">
        <v>2024</v>
      </c>
      <c r="L35" s="270">
        <v>2025</v>
      </c>
      <c r="M35" s="270">
        <v>2026</v>
      </c>
      <c r="N35" s="271">
        <v>2027</v>
      </c>
      <c r="O35" s="271">
        <v>2028</v>
      </c>
      <c r="P35" s="271">
        <v>2029</v>
      </c>
      <c r="Q35" s="271">
        <v>2030</v>
      </c>
      <c r="R35" s="271">
        <v>2031</v>
      </c>
      <c r="S35" s="271">
        <v>2032</v>
      </c>
      <c r="T35" s="271">
        <v>2033</v>
      </c>
      <c r="U35" s="272">
        <v>2034</v>
      </c>
    </row>
    <row r="36" spans="2:21" ht="14.4" x14ac:dyDescent="0.3">
      <c r="B36" s="273"/>
      <c r="U36" s="274"/>
    </row>
    <row r="37" spans="2:21" ht="18" customHeight="1" x14ac:dyDescent="0.3">
      <c r="B37" s="273" t="s">
        <v>358</v>
      </c>
      <c r="D37" s="196">
        <v>8817.5</v>
      </c>
      <c r="E37" s="196">
        <v>8590.6</v>
      </c>
      <c r="F37" s="196">
        <v>9340.7999999999993</v>
      </c>
      <c r="G37" s="196">
        <v>9325.4</v>
      </c>
      <c r="H37" s="196">
        <v>8131.3</v>
      </c>
      <c r="I37" s="196">
        <v>9712.4</v>
      </c>
      <c r="J37" s="196">
        <v>10612</v>
      </c>
      <c r="K37" s="196">
        <v>11321</v>
      </c>
      <c r="L37" s="196">
        <v>12069</v>
      </c>
      <c r="M37" s="196">
        <v>12467</v>
      </c>
      <c r="N37" s="196">
        <v>13838.37</v>
      </c>
      <c r="O37" s="196">
        <v>15360.590700000002</v>
      </c>
      <c r="P37" s="196">
        <v>16896.649770000004</v>
      </c>
      <c r="Q37" s="196">
        <v>18417.348249300005</v>
      </c>
      <c r="R37" s="196">
        <v>19890.736109244008</v>
      </c>
      <c r="S37" s="196">
        <v>21283.08763689109</v>
      </c>
      <c r="T37" s="196">
        <v>22772.90377147347</v>
      </c>
      <c r="U37" s="275">
        <v>24367.007035476614</v>
      </c>
    </row>
    <row r="38" spans="2:21" ht="18" customHeight="1" x14ac:dyDescent="0.3">
      <c r="B38" s="276" t="s">
        <v>359</v>
      </c>
      <c r="C38" s="277"/>
      <c r="D38" s="263"/>
      <c r="E38" s="264">
        <v>-2.57329174936206E-2</v>
      </c>
      <c r="F38" s="264">
        <v>8.7328009685004412E-2</v>
      </c>
      <c r="G38" s="264">
        <v>-1.6486810551558364E-3</v>
      </c>
      <c r="H38" s="264">
        <v>-0.12804812662191428</v>
      </c>
      <c r="I38" s="264">
        <v>0.19444615252173691</v>
      </c>
      <c r="J38" s="264">
        <v>9.2623862279148345E-2</v>
      </c>
      <c r="K38" s="264">
        <v>6.6811157180550321E-2</v>
      </c>
      <c r="L38" s="264">
        <v>6.6071901775461531E-2</v>
      </c>
      <c r="M38" s="264">
        <v>3.2977048637003896E-2</v>
      </c>
      <c r="N38" s="264">
        <v>0.11000000000000007</v>
      </c>
      <c r="O38" s="264">
        <v>0.11000000000000011</v>
      </c>
      <c r="P38" s="264">
        <v>0.10000000000000006</v>
      </c>
      <c r="Q38" s="264">
        <v>9.0000000000000038E-2</v>
      </c>
      <c r="R38" s="264">
        <v>8.0000000000000154E-2</v>
      </c>
      <c r="S38" s="264">
        <v>7.0000000000000104E-2</v>
      </c>
      <c r="T38" s="264">
        <v>7.0000000000000132E-2</v>
      </c>
      <c r="U38" s="278">
        <v>7.0000000000000062E-2</v>
      </c>
    </row>
    <row r="39" spans="2:21" ht="3" customHeight="1" x14ac:dyDescent="0.3">
      <c r="B39" s="276"/>
      <c r="C39" s="277"/>
      <c r="D39" s="263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78"/>
    </row>
    <row r="40" spans="2:21" ht="3" customHeight="1" x14ac:dyDescent="0.3">
      <c r="B40" s="276"/>
      <c r="C40" s="277"/>
      <c r="D40" s="265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79"/>
    </row>
    <row r="41" spans="2:21" ht="18" customHeight="1" x14ac:dyDescent="0.3">
      <c r="B41" s="273" t="s">
        <v>213</v>
      </c>
      <c r="D41" s="196">
        <v>5151.3</v>
      </c>
      <c r="E41" s="196">
        <v>4557.3</v>
      </c>
      <c r="F41" s="196">
        <v>4966.3999999999996</v>
      </c>
      <c r="G41" s="196">
        <v>5370</v>
      </c>
      <c r="H41" s="196">
        <v>4807.5</v>
      </c>
      <c r="I41" s="196">
        <v>5680.9</v>
      </c>
      <c r="J41" s="196">
        <v>6503</v>
      </c>
      <c r="K41" s="196">
        <v>6542</v>
      </c>
      <c r="L41" s="196">
        <v>6860</v>
      </c>
      <c r="M41" s="196">
        <v>6674</v>
      </c>
      <c r="N41" s="196">
        <v>7373.002295091439</v>
      </c>
      <c r="O41" s="196">
        <v>7963.5219896659019</v>
      </c>
      <c r="P41" s="196">
        <v>8517.3125749583342</v>
      </c>
      <c r="Q41" s="196">
        <v>9019.4785477997539</v>
      </c>
      <c r="R41" s="196">
        <v>9741.0368316237364</v>
      </c>
      <c r="S41" s="196">
        <v>10422.909409837399</v>
      </c>
      <c r="T41" s="196">
        <v>11152.513068526017</v>
      </c>
      <c r="U41" s="275">
        <v>11933.18898332284</v>
      </c>
    </row>
    <row r="42" spans="2:21" ht="18" customHeight="1" x14ac:dyDescent="0.3">
      <c r="B42" s="276" t="s">
        <v>359</v>
      </c>
      <c r="C42" s="277"/>
      <c r="D42" s="263"/>
      <c r="E42" s="264">
        <v>-0.11531069827033952</v>
      </c>
      <c r="F42" s="264">
        <v>8.9768064424110644E-2</v>
      </c>
      <c r="G42" s="264">
        <v>8.1266108247422766E-2</v>
      </c>
      <c r="H42" s="264">
        <v>-0.10474860335195531</v>
      </c>
      <c r="I42" s="264">
        <v>0.18167446697867906</v>
      </c>
      <c r="J42" s="264">
        <v>0.14471298561847601</v>
      </c>
      <c r="K42" s="264">
        <v>5.9972320467476551E-3</v>
      </c>
      <c r="L42" s="264">
        <v>4.8608988077040657E-2</v>
      </c>
      <c r="M42" s="264">
        <v>-2.7113702623906704E-2</v>
      </c>
      <c r="N42" s="264">
        <v>0.10473513561453986</v>
      </c>
      <c r="O42" s="264">
        <v>8.0092162044707371E-2</v>
      </c>
      <c r="P42" s="264">
        <v>6.9540912426822574E-2</v>
      </c>
      <c r="Q42" s="264">
        <v>5.8958265112616967E-2</v>
      </c>
      <c r="R42" s="264">
        <v>8.0000000000000238E-2</v>
      </c>
      <c r="S42" s="264">
        <v>7.0000000000000104E-2</v>
      </c>
      <c r="T42" s="264">
        <v>7.0000000000000048E-2</v>
      </c>
      <c r="U42" s="278">
        <v>7.0000000000000104E-2</v>
      </c>
    </row>
    <row r="43" spans="2:21" ht="3" customHeight="1" x14ac:dyDescent="0.3">
      <c r="B43" s="276"/>
      <c r="C43" s="277"/>
      <c r="D43" s="263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78"/>
    </row>
    <row r="44" spans="2:21" ht="3" customHeight="1" x14ac:dyDescent="0.3">
      <c r="B44" s="276"/>
      <c r="C44" s="277"/>
      <c r="D44" s="265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79"/>
    </row>
    <row r="45" spans="2:21" ht="18" customHeight="1" x14ac:dyDescent="0.3">
      <c r="B45" s="273" t="s">
        <v>30</v>
      </c>
      <c r="D45" s="196">
        <v>3666.2</v>
      </c>
      <c r="E45" s="196">
        <v>4033.3</v>
      </c>
      <c r="F45" s="196">
        <v>4374.3999999999996</v>
      </c>
      <c r="G45" s="196">
        <v>3955.3999999999996</v>
      </c>
      <c r="H45" s="196">
        <v>3323.8</v>
      </c>
      <c r="I45" s="196">
        <v>4031.5</v>
      </c>
      <c r="J45" s="196">
        <v>4109</v>
      </c>
      <c r="K45" s="196">
        <v>4779</v>
      </c>
      <c r="L45" s="196">
        <v>5209</v>
      </c>
      <c r="M45" s="196">
        <v>5793</v>
      </c>
      <c r="N45" s="196">
        <v>6465.3677049085618</v>
      </c>
      <c r="O45" s="196">
        <v>7397.0687103341006</v>
      </c>
      <c r="P45" s="196">
        <v>8379.3371950416695</v>
      </c>
      <c r="Q45" s="196">
        <v>9397.8697015002508</v>
      </c>
      <c r="R45" s="196">
        <v>10149.699277620271</v>
      </c>
      <c r="S45" s="196">
        <v>10860.178227053691</v>
      </c>
      <c r="T45" s="196">
        <v>11620.390702947452</v>
      </c>
      <c r="U45" s="275">
        <v>12433.818052153774</v>
      </c>
    </row>
    <row r="46" spans="2:21" ht="18" customHeight="1" x14ac:dyDescent="0.3">
      <c r="B46" s="276" t="s">
        <v>361</v>
      </c>
      <c r="C46" s="277"/>
      <c r="D46" s="264">
        <v>0.41578678763821941</v>
      </c>
      <c r="E46" s="264">
        <v>0.4695015482038507</v>
      </c>
      <c r="F46" s="264">
        <v>0.46831106543336759</v>
      </c>
      <c r="G46" s="264">
        <v>0.42415338752225101</v>
      </c>
      <c r="H46" s="264">
        <v>0.40876612595771894</v>
      </c>
      <c r="I46" s="264">
        <v>0.41508792883324414</v>
      </c>
      <c r="J46" s="264">
        <v>0.38720316622691292</v>
      </c>
      <c r="K46" s="264">
        <v>0.42213585372316931</v>
      </c>
      <c r="L46" s="264">
        <v>0.43160162399536001</v>
      </c>
      <c r="M46" s="264">
        <v>0.46466672014117272</v>
      </c>
      <c r="N46" s="264">
        <v>0.46720587069926311</v>
      </c>
      <c r="O46" s="264">
        <v>0.48156147473769351</v>
      </c>
      <c r="P46" s="264">
        <v>0.49591707877612401</v>
      </c>
      <c r="Q46" s="264">
        <v>0.5102726828145544</v>
      </c>
      <c r="R46" s="264">
        <v>0.5102726828145544</v>
      </c>
      <c r="S46" s="264">
        <v>0.5102726828145544</v>
      </c>
      <c r="T46" s="264">
        <v>0.5102726828145544</v>
      </c>
      <c r="U46" s="278">
        <v>0.5102726828145544</v>
      </c>
    </row>
    <row r="47" spans="2:21" ht="18" customHeight="1" x14ac:dyDescent="0.3">
      <c r="B47" s="276" t="s">
        <v>359</v>
      </c>
      <c r="C47" s="277"/>
      <c r="D47" s="263"/>
      <c r="E47" s="264">
        <v>0.100130925754187</v>
      </c>
      <c r="F47" s="264">
        <v>8.4570946867329341E-2</v>
      </c>
      <c r="G47" s="264">
        <v>-9.5784564740307249E-2</v>
      </c>
      <c r="H47" s="264">
        <v>-0.15968043687111277</v>
      </c>
      <c r="I47" s="264">
        <v>0.21291894819182855</v>
      </c>
      <c r="J47" s="264">
        <v>1.9223614039439414E-2</v>
      </c>
      <c r="K47" s="264">
        <v>0.16305670479435386</v>
      </c>
      <c r="L47" s="264">
        <v>8.9976982632349864E-2</v>
      </c>
      <c r="M47" s="264">
        <v>0.11211364945287003</v>
      </c>
      <c r="N47" s="264">
        <v>0.11606554547014704</v>
      </c>
      <c r="O47" s="264">
        <v>0.1441064217767821</v>
      </c>
      <c r="P47" s="264">
        <v>0.132791585852824</v>
      </c>
      <c r="Q47" s="264">
        <v>0.12155287259012332</v>
      </c>
      <c r="R47" s="264">
        <v>8.0000000000000057E-2</v>
      </c>
      <c r="S47" s="264">
        <v>7.000000000000009E-2</v>
      </c>
      <c r="T47" s="264">
        <v>7.0000000000000215E-2</v>
      </c>
      <c r="U47" s="278">
        <v>7.0000000000000034E-2</v>
      </c>
    </row>
    <row r="48" spans="2:21" ht="3" customHeight="1" x14ac:dyDescent="0.3">
      <c r="B48" s="276"/>
      <c r="C48" s="277"/>
      <c r="D48" s="263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78"/>
    </row>
    <row r="49" spans="2:21" ht="3" customHeight="1" x14ac:dyDescent="0.3">
      <c r="B49" s="276"/>
      <c r="C49" s="277"/>
      <c r="D49" s="265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79"/>
    </row>
    <row r="50" spans="2:21" ht="18" customHeight="1" x14ac:dyDescent="0.3">
      <c r="B50" s="273" t="s">
        <v>360</v>
      </c>
      <c r="D50" s="196">
        <v>991.39999999999964</v>
      </c>
      <c r="E50" s="196">
        <v>1209.1999999999998</v>
      </c>
      <c r="F50" s="196">
        <v>1393.7999999999993</v>
      </c>
      <c r="G50" s="196">
        <v>1570.9999999999995</v>
      </c>
      <c r="H50" s="196">
        <v>1051.4000000000001</v>
      </c>
      <c r="I50" s="196">
        <v>1595.1999999999998</v>
      </c>
      <c r="J50" s="196">
        <v>1417</v>
      </c>
      <c r="K50" s="196">
        <v>2000</v>
      </c>
      <c r="L50" s="196">
        <v>2236</v>
      </c>
      <c r="M50" s="196">
        <v>2279</v>
      </c>
      <c r="N50" s="196">
        <v>2762.9733984507016</v>
      </c>
      <c r="O50" s="196">
        <v>3287.4110301658757</v>
      </c>
      <c r="P50" s="196">
        <v>3858.7137468566216</v>
      </c>
      <c r="Q50" s="196">
        <v>4470.3901429785483</v>
      </c>
      <c r="R50" s="196">
        <v>4828.0213544168319</v>
      </c>
      <c r="S50" s="196">
        <v>5165.9828492260112</v>
      </c>
      <c r="T50" s="196">
        <v>5527.6016486718327</v>
      </c>
      <c r="U50" s="275">
        <v>5914.5337640788612</v>
      </c>
    </row>
    <row r="51" spans="2:21" ht="18" customHeight="1" x14ac:dyDescent="0.3">
      <c r="B51" s="280" t="s">
        <v>362</v>
      </c>
      <c r="C51" s="281"/>
      <c r="D51" s="264">
        <v>0.11243549759001981</v>
      </c>
      <c r="E51" s="264">
        <v>0.14075850348054847</v>
      </c>
      <c r="F51" s="264">
        <v>0.14921634121274402</v>
      </c>
      <c r="G51" s="264">
        <v>0.16846462350140473</v>
      </c>
      <c r="H51" s="264">
        <v>0.1293028175076556</v>
      </c>
      <c r="I51" s="264">
        <v>0.16424364729623986</v>
      </c>
      <c r="J51" s="264">
        <v>0.13352808141726347</v>
      </c>
      <c r="K51" s="264">
        <v>0.17666283897182228</v>
      </c>
      <c r="L51" s="264">
        <v>0.18526804209130832</v>
      </c>
      <c r="M51" s="264">
        <v>0.18280259886099301</v>
      </c>
      <c r="N51" s="264">
        <v>0.19966032115420396</v>
      </c>
      <c r="O51" s="264">
        <v>0.21401592519263438</v>
      </c>
      <c r="P51" s="264">
        <v>0.22837152923106488</v>
      </c>
      <c r="Q51" s="264">
        <v>0.2427271332694953</v>
      </c>
      <c r="R51" s="264">
        <v>0.24272713326949524</v>
      </c>
      <c r="S51" s="264">
        <v>0.2427271332694953</v>
      </c>
      <c r="T51" s="264">
        <v>0.2427271332694953</v>
      </c>
      <c r="U51" s="278">
        <v>0.24272713326949527</v>
      </c>
    </row>
    <row r="52" spans="2:21" ht="18" customHeight="1" x14ac:dyDescent="0.3">
      <c r="B52" s="280" t="s">
        <v>359</v>
      </c>
      <c r="C52" s="281"/>
      <c r="D52" s="264"/>
      <c r="E52" s="264">
        <v>0.21968932822271561</v>
      </c>
      <c r="F52" s="264">
        <v>0.15266291763149148</v>
      </c>
      <c r="G52" s="264">
        <v>0.12713445257569261</v>
      </c>
      <c r="H52" s="264">
        <v>-0.33074474856779096</v>
      </c>
      <c r="I52" s="264">
        <v>0.51721514171580718</v>
      </c>
      <c r="J52" s="264">
        <v>-0.11171013039117342</v>
      </c>
      <c r="K52" s="264">
        <v>0.41143260409315457</v>
      </c>
      <c r="L52" s="264">
        <v>0.11799999999999999</v>
      </c>
      <c r="M52" s="264">
        <v>1.9230769230769232E-2</v>
      </c>
      <c r="N52" s="264">
        <v>0.21236217571333987</v>
      </c>
      <c r="O52" s="264">
        <v>0.18980914981275068</v>
      </c>
      <c r="P52" s="264">
        <v>0.17378499720551197</v>
      </c>
      <c r="Q52" s="264">
        <v>0.15851821001757629</v>
      </c>
      <c r="R52" s="264">
        <v>7.9999999999999932E-2</v>
      </c>
      <c r="S52" s="264">
        <v>7.0000000000000243E-2</v>
      </c>
      <c r="T52" s="264">
        <v>7.0000000000000118E-2</v>
      </c>
      <c r="U52" s="278">
        <v>7.0000000000000034E-2</v>
      </c>
    </row>
    <row r="53" spans="2:21" ht="3" customHeight="1" x14ac:dyDescent="0.3">
      <c r="B53" s="280"/>
      <c r="C53" s="281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78"/>
    </row>
    <row r="54" spans="2:21" ht="3" customHeight="1" x14ac:dyDescent="0.3">
      <c r="B54" s="280"/>
      <c r="C54" s="281"/>
      <c r="D54" s="265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79"/>
    </row>
    <row r="55" spans="2:21" ht="18" customHeight="1" x14ac:dyDescent="0.3">
      <c r="B55" s="273" t="s">
        <v>33</v>
      </c>
      <c r="D55" s="196">
        <v>802.79999999999961</v>
      </c>
      <c r="E55" s="196">
        <v>1016.8999999999999</v>
      </c>
      <c r="F55" s="196">
        <v>1179.0999999999992</v>
      </c>
      <c r="G55" s="196">
        <v>1285.6999999999996</v>
      </c>
      <c r="H55" s="196">
        <v>752.30000000000007</v>
      </c>
      <c r="I55" s="196">
        <v>1291.3999999999999</v>
      </c>
      <c r="J55" s="196">
        <v>1134</v>
      </c>
      <c r="K55" s="196">
        <v>1725</v>
      </c>
      <c r="L55" s="196">
        <v>1953</v>
      </c>
      <c r="M55" s="196">
        <v>1990</v>
      </c>
      <c r="N55" s="196">
        <v>2384.9195037007016</v>
      </c>
      <c r="O55" s="196">
        <v>2866.3351597433757</v>
      </c>
      <c r="P55" s="196">
        <v>3391.8270142093716</v>
      </c>
      <c r="Q55" s="196">
        <v>3955.3367556760704</v>
      </c>
      <c r="R55" s="196">
        <v>4262.9834679068854</v>
      </c>
      <c r="S55" s="196">
        <v>4549.7793037830288</v>
      </c>
      <c r="T55" s="196">
        <v>4858.8862061735081</v>
      </c>
      <c r="U55" s="275">
        <v>5191.1953423334235</v>
      </c>
    </row>
    <row r="56" spans="2:21" ht="18" customHeight="1" x14ac:dyDescent="0.3">
      <c r="B56" s="280" t="s">
        <v>333</v>
      </c>
      <c r="C56" s="281"/>
      <c r="D56" s="264">
        <v>9.1046214913524201E-2</v>
      </c>
      <c r="E56" s="264">
        <v>0.11837357111261144</v>
      </c>
      <c r="F56" s="264">
        <v>0.12623115793079814</v>
      </c>
      <c r="G56" s="264">
        <v>0.13787076157591091</v>
      </c>
      <c r="H56" s="264">
        <v>9.2519031397193571E-2</v>
      </c>
      <c r="I56" s="264">
        <v>0.13296404596186318</v>
      </c>
      <c r="J56" s="264">
        <v>0.10686015831134564</v>
      </c>
      <c r="K56" s="264">
        <v>0.15237169861319672</v>
      </c>
      <c r="L56" s="264">
        <v>0.16181953765846382</v>
      </c>
      <c r="M56" s="264">
        <v>0.15962140049731291</v>
      </c>
      <c r="N56" s="264">
        <v>0.17234107078367622</v>
      </c>
      <c r="O56" s="264">
        <v>0.18660318575791329</v>
      </c>
      <c r="P56" s="264">
        <v>0.20073961763896883</v>
      </c>
      <c r="Q56" s="264">
        <v>0.21476146848808175</v>
      </c>
      <c r="R56" s="264">
        <v>0.21432004549724579</v>
      </c>
      <c r="S56" s="264">
        <v>0.2137744006605817</v>
      </c>
      <c r="T56" s="264">
        <v>0.21336261088759367</v>
      </c>
      <c r="U56" s="278">
        <v>0.21304197658643162</v>
      </c>
    </row>
    <row r="57" spans="2:21" ht="18" customHeight="1" x14ac:dyDescent="0.3">
      <c r="B57" s="280" t="s">
        <v>359</v>
      </c>
      <c r="C57" s="281"/>
      <c r="D57" s="264"/>
      <c r="E57" s="264">
        <v>0.26669157947184896</v>
      </c>
      <c r="F57" s="264">
        <v>0.15950437604484155</v>
      </c>
      <c r="G57" s="264">
        <v>9.0407938257993758E-2</v>
      </c>
      <c r="H57" s="264">
        <v>-0.41487127634751475</v>
      </c>
      <c r="I57" s="264">
        <v>0.71660241924764023</v>
      </c>
      <c r="J57" s="264">
        <v>-0.12188322750503321</v>
      </c>
      <c r="K57" s="264">
        <v>0.52116402116402116</v>
      </c>
      <c r="L57" s="264">
        <v>0.13217391304347825</v>
      </c>
      <c r="M57" s="264">
        <v>1.8945212493599591E-2</v>
      </c>
      <c r="N57" s="264">
        <v>0.19845201190990031</v>
      </c>
      <c r="O57" s="264">
        <v>0.20185824104153494</v>
      </c>
      <c r="P57" s="264">
        <v>0.18333231292918425</v>
      </c>
      <c r="Q57" s="264">
        <v>0.16613752384953273</v>
      </c>
      <c r="R57" s="264">
        <v>7.7780156592059904E-2</v>
      </c>
      <c r="S57" s="264">
        <v>6.7275849891334324E-2</v>
      </c>
      <c r="T57" s="264">
        <v>6.7938878295363589E-2</v>
      </c>
      <c r="U57" s="278">
        <v>6.839203925741183E-2</v>
      </c>
    </row>
    <row r="58" spans="2:21" ht="3" customHeight="1" x14ac:dyDescent="0.3">
      <c r="B58" s="280"/>
      <c r="C58" s="281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78"/>
    </row>
    <row r="59" spans="2:21" ht="3" customHeight="1" x14ac:dyDescent="0.3">
      <c r="B59" s="280"/>
      <c r="C59" s="281"/>
      <c r="D59" s="265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79"/>
    </row>
    <row r="60" spans="2:21" ht="18" customHeight="1" x14ac:dyDescent="0.3">
      <c r="B60" s="282" t="s">
        <v>363</v>
      </c>
      <c r="D60" s="196">
        <v>93</v>
      </c>
      <c r="E60" s="196">
        <v>651.9</v>
      </c>
      <c r="F60" s="196">
        <v>683.6</v>
      </c>
      <c r="G60" s="196">
        <v>620.6</v>
      </c>
      <c r="H60" s="196">
        <v>362.10000000000014</v>
      </c>
      <c r="I60" s="196">
        <v>810.6</v>
      </c>
      <c r="J60" s="196">
        <v>1125.8</v>
      </c>
      <c r="K60" s="196">
        <v>1408</v>
      </c>
      <c r="L60" s="196">
        <v>1582</v>
      </c>
      <c r="M60" s="196">
        <v>1838</v>
      </c>
      <c r="N60" s="196">
        <v>1869.4192708130263</v>
      </c>
      <c r="O60" s="196">
        <v>2213.9016687548174</v>
      </c>
      <c r="P60" s="196">
        <v>2640.6547397307336</v>
      </c>
      <c r="Q60" s="196">
        <v>3066.2782123461207</v>
      </c>
      <c r="R60" s="196">
        <v>3342.3167183861133</v>
      </c>
      <c r="S60" s="196">
        <v>3569.0167213395994</v>
      </c>
      <c r="T60" s="196">
        <v>3854.2562459025312</v>
      </c>
      <c r="U60" s="275">
        <v>4119.4045394943378</v>
      </c>
    </row>
    <row r="61" spans="2:21" ht="18" customHeight="1" x14ac:dyDescent="0.3">
      <c r="B61" s="280" t="s">
        <v>364</v>
      </c>
      <c r="C61" s="281"/>
      <c r="D61" s="264">
        <v>1.0547207258293168E-2</v>
      </c>
      <c r="E61" s="264">
        <v>7.5885269946220288E-2</v>
      </c>
      <c r="F61" s="264">
        <v>7.3184309695101077E-2</v>
      </c>
      <c r="G61" s="264">
        <v>6.6549424153387521E-2</v>
      </c>
      <c r="H61" s="264">
        <v>4.4531624709456069E-2</v>
      </c>
      <c r="I61" s="264">
        <v>8.3460318767760805E-2</v>
      </c>
      <c r="J61" s="264">
        <v>0.10608744817188089</v>
      </c>
      <c r="K61" s="264">
        <v>0.12437063863616288</v>
      </c>
      <c r="L61" s="264">
        <v>0.13107962548678431</v>
      </c>
      <c r="M61" s="264">
        <v>0.14742921312264379</v>
      </c>
      <c r="N61" s="264">
        <v>0.13508955684903831</v>
      </c>
      <c r="O61" s="264">
        <v>0.14412868046505639</v>
      </c>
      <c r="P61" s="264">
        <v>0.15628274099752101</v>
      </c>
      <c r="Q61" s="264">
        <v>0.16648858298385394</v>
      </c>
      <c r="R61" s="264">
        <v>0.16803383746229519</v>
      </c>
      <c r="S61" s="264">
        <v>0.16769261970961563</v>
      </c>
      <c r="T61" s="264">
        <v>0.1692474655221867</v>
      </c>
      <c r="U61" s="278">
        <v>0.16905664833997791</v>
      </c>
    </row>
    <row r="62" spans="2:21" ht="18" customHeight="1" x14ac:dyDescent="0.3">
      <c r="B62" s="283" t="s">
        <v>359</v>
      </c>
      <c r="C62" s="151"/>
      <c r="D62" s="284"/>
      <c r="E62" s="285">
        <v>6.0096774193548388</v>
      </c>
      <c r="F62" s="285">
        <v>4.862709004448542E-2</v>
      </c>
      <c r="G62" s="285">
        <v>-9.2159157401989461E-2</v>
      </c>
      <c r="H62" s="285">
        <v>-0.41653238801160147</v>
      </c>
      <c r="I62" s="285">
        <v>1.2386081193040588</v>
      </c>
      <c r="J62" s="285">
        <v>0.38884776708610896</v>
      </c>
      <c r="K62" s="285">
        <v>0.25066619292947245</v>
      </c>
      <c r="L62" s="285">
        <v>0.12357954545454546</v>
      </c>
      <c r="M62" s="285">
        <v>0.16182048040455121</v>
      </c>
      <c r="N62" s="285">
        <v>1.7094271389024095E-2</v>
      </c>
      <c r="O62" s="285">
        <v>0.18427241193034924</v>
      </c>
      <c r="P62" s="285">
        <v>0.19276062573092437</v>
      </c>
      <c r="Q62" s="285">
        <v>0.1611810382521979</v>
      </c>
      <c r="R62" s="285">
        <v>9.0023959642196186E-2</v>
      </c>
      <c r="S62" s="285">
        <v>6.7827205514787811E-2</v>
      </c>
      <c r="T62" s="285">
        <v>7.9921038995824492E-2</v>
      </c>
      <c r="U62" s="286">
        <v>6.8793634017895497E-2</v>
      </c>
    </row>
    <row r="64" spans="2:21" ht="18" customHeight="1" x14ac:dyDescent="0.4">
      <c r="B64" s="268" t="s">
        <v>367</v>
      </c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</row>
    <row r="66" spans="2:21" ht="14.4" x14ac:dyDescent="0.3">
      <c r="B66" s="269" t="s">
        <v>17</v>
      </c>
      <c r="C66" s="24"/>
      <c r="D66" s="270">
        <v>2017</v>
      </c>
      <c r="E66" s="270">
        <v>2018</v>
      </c>
      <c r="F66" s="270">
        <v>2019</v>
      </c>
      <c r="G66" s="270">
        <v>2020</v>
      </c>
      <c r="H66" s="270">
        <v>2021</v>
      </c>
      <c r="I66" s="270">
        <v>2022</v>
      </c>
      <c r="J66" s="270">
        <v>2023</v>
      </c>
      <c r="K66" s="270">
        <v>2024</v>
      </c>
      <c r="L66" s="270">
        <v>2025</v>
      </c>
      <c r="M66" s="270">
        <v>2026</v>
      </c>
      <c r="N66" s="271">
        <v>2027</v>
      </c>
      <c r="O66" s="271">
        <v>2028</v>
      </c>
      <c r="P66" s="271">
        <v>2029</v>
      </c>
      <c r="Q66" s="271">
        <v>2030</v>
      </c>
      <c r="R66" s="271">
        <v>2031</v>
      </c>
      <c r="S66" s="271">
        <v>2032</v>
      </c>
      <c r="T66" s="271">
        <v>2033</v>
      </c>
      <c r="U66" s="272">
        <v>2034</v>
      </c>
    </row>
    <row r="67" spans="2:21" ht="14.4" x14ac:dyDescent="0.3">
      <c r="B67" s="273"/>
      <c r="U67" s="274"/>
    </row>
    <row r="68" spans="2:21" ht="18" customHeight="1" x14ac:dyDescent="0.3">
      <c r="B68" s="273" t="s">
        <v>358</v>
      </c>
      <c r="D68" s="196">
        <v>8817.5</v>
      </c>
      <c r="E68" s="196">
        <v>8590.6</v>
      </c>
      <c r="F68" s="196">
        <v>9340.7999999999993</v>
      </c>
      <c r="G68" s="196">
        <v>9325.4</v>
      </c>
      <c r="H68" s="196">
        <v>8131.3</v>
      </c>
      <c r="I68" s="196">
        <v>9712.4</v>
      </c>
      <c r="J68" s="196">
        <v>10612</v>
      </c>
      <c r="K68" s="196">
        <v>11321</v>
      </c>
      <c r="L68" s="196">
        <v>12069</v>
      </c>
      <c r="M68" s="196">
        <v>12467</v>
      </c>
      <c r="N68" s="196">
        <v>13215.02</v>
      </c>
      <c r="O68" s="196">
        <v>14007.921200000001</v>
      </c>
      <c r="P68" s="196">
        <v>14708.317260000002</v>
      </c>
      <c r="Q68" s="196">
        <v>15443.733123000002</v>
      </c>
      <c r="R68" s="196">
        <v>16215.919779150003</v>
      </c>
      <c r="S68" s="196">
        <v>17026.715768107504</v>
      </c>
      <c r="T68" s="196">
        <v>17878.051556512881</v>
      </c>
      <c r="U68" s="275">
        <v>18771.954134338524</v>
      </c>
    </row>
    <row r="69" spans="2:21" ht="18" customHeight="1" x14ac:dyDescent="0.3">
      <c r="B69" s="276" t="s">
        <v>359</v>
      </c>
      <c r="C69" s="277"/>
      <c r="D69" s="263"/>
      <c r="E69" s="264">
        <v>-2.57329174936206E-2</v>
      </c>
      <c r="F69" s="264">
        <v>8.7328009685004412E-2</v>
      </c>
      <c r="G69" s="264">
        <v>-1.6486810551558364E-3</v>
      </c>
      <c r="H69" s="264">
        <v>-0.12804812662191428</v>
      </c>
      <c r="I69" s="264">
        <v>0.19444615252173691</v>
      </c>
      <c r="J69" s="264">
        <v>9.2623862279148345E-2</v>
      </c>
      <c r="K69" s="264">
        <v>6.6811157180550321E-2</v>
      </c>
      <c r="L69" s="264">
        <v>6.6071901775461531E-2</v>
      </c>
      <c r="M69" s="264">
        <v>3.2977048637003896E-2</v>
      </c>
      <c r="N69" s="264">
        <v>6.0000000000000032E-2</v>
      </c>
      <c r="O69" s="264">
        <v>6.0000000000000019E-2</v>
      </c>
      <c r="P69" s="264">
        <v>5.0000000000000065E-2</v>
      </c>
      <c r="Q69" s="264">
        <v>0.05</v>
      </c>
      <c r="R69" s="264">
        <v>5.0000000000000058E-2</v>
      </c>
      <c r="S69" s="264">
        <v>5.0000000000000072E-2</v>
      </c>
      <c r="T69" s="264">
        <v>5.0000000000000086E-2</v>
      </c>
      <c r="U69" s="278">
        <v>4.9999999999999982E-2</v>
      </c>
    </row>
    <row r="70" spans="2:21" ht="3" customHeight="1" x14ac:dyDescent="0.3">
      <c r="B70" s="276"/>
      <c r="C70" s="277"/>
      <c r="D70" s="263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78"/>
    </row>
    <row r="71" spans="2:21" ht="3" customHeight="1" x14ac:dyDescent="0.3">
      <c r="B71" s="276"/>
      <c r="C71" s="277"/>
      <c r="D71" s="265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79"/>
    </row>
    <row r="72" spans="2:21" ht="18" customHeight="1" x14ac:dyDescent="0.3">
      <c r="B72" s="273" t="s">
        <v>213</v>
      </c>
      <c r="D72" s="196">
        <v>5151.3</v>
      </c>
      <c r="E72" s="196">
        <v>4557.3</v>
      </c>
      <c r="F72" s="196">
        <v>4966.3999999999996</v>
      </c>
      <c r="G72" s="196">
        <v>5370</v>
      </c>
      <c r="H72" s="196">
        <v>4807.5</v>
      </c>
      <c r="I72" s="196">
        <v>5680.9</v>
      </c>
      <c r="J72" s="196">
        <v>6503</v>
      </c>
      <c r="K72" s="196">
        <v>6542</v>
      </c>
      <c r="L72" s="196">
        <v>6860</v>
      </c>
      <c r="M72" s="196">
        <v>6674</v>
      </c>
      <c r="N72" s="196">
        <v>7466.4862999999996</v>
      </c>
      <c r="O72" s="196">
        <v>7914.4754779999994</v>
      </c>
      <c r="P72" s="196">
        <v>8236.6576656000016</v>
      </c>
      <c r="Q72" s="196">
        <v>8648.4905488800014</v>
      </c>
      <c r="R72" s="196">
        <v>9080.9150763240032</v>
      </c>
      <c r="S72" s="196">
        <v>9534.9608301402041</v>
      </c>
      <c r="T72" s="196">
        <v>10011.708871647214</v>
      </c>
      <c r="U72" s="275">
        <v>10512.294315229574</v>
      </c>
    </row>
    <row r="73" spans="2:21" ht="18" customHeight="1" x14ac:dyDescent="0.3">
      <c r="B73" s="276" t="s">
        <v>359</v>
      </c>
      <c r="C73" s="277"/>
      <c r="D73" s="263"/>
      <c r="E73" s="264">
        <v>-0.11531069827033952</v>
      </c>
      <c r="F73" s="264">
        <v>8.9768064424110644E-2</v>
      </c>
      <c r="G73" s="264">
        <v>8.1266108247422766E-2</v>
      </c>
      <c r="H73" s="264">
        <v>-0.10474860335195531</v>
      </c>
      <c r="I73" s="264">
        <v>0.18167446697867906</v>
      </c>
      <c r="J73" s="264">
        <v>0.14471298561847601</v>
      </c>
      <c r="K73" s="264">
        <v>5.9972320467476551E-3</v>
      </c>
      <c r="L73" s="264">
        <v>4.8608988077040657E-2</v>
      </c>
      <c r="M73" s="264">
        <v>-2.7113702623906704E-2</v>
      </c>
      <c r="N73" s="264">
        <v>0.11874232843871735</v>
      </c>
      <c r="O73" s="264">
        <v>5.9999999999999977E-2</v>
      </c>
      <c r="P73" s="264">
        <v>4.0707964601770188E-2</v>
      </c>
      <c r="Q73" s="264">
        <v>4.9999999999999968E-2</v>
      </c>
      <c r="R73" s="264">
        <v>5.0000000000000197E-2</v>
      </c>
      <c r="S73" s="264">
        <v>5.0000000000000079E-2</v>
      </c>
      <c r="T73" s="264">
        <v>4.9999999999999926E-2</v>
      </c>
      <c r="U73" s="278">
        <v>4.9999999999999961E-2</v>
      </c>
    </row>
    <row r="74" spans="2:21" ht="3" customHeight="1" x14ac:dyDescent="0.3">
      <c r="B74" s="276"/>
      <c r="C74" s="277"/>
      <c r="D74" s="263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78"/>
    </row>
    <row r="75" spans="2:21" ht="3" customHeight="1" x14ac:dyDescent="0.3">
      <c r="B75" s="276"/>
      <c r="C75" s="277"/>
      <c r="D75" s="265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79"/>
    </row>
    <row r="76" spans="2:21" ht="18" customHeight="1" x14ac:dyDescent="0.3">
      <c r="B76" s="273" t="s">
        <v>30</v>
      </c>
      <c r="D76" s="196">
        <v>3666.2</v>
      </c>
      <c r="E76" s="196">
        <v>4033.3</v>
      </c>
      <c r="F76" s="196">
        <v>4374.3999999999996</v>
      </c>
      <c r="G76" s="196">
        <v>3955.3999999999996</v>
      </c>
      <c r="H76" s="196">
        <v>3323.8</v>
      </c>
      <c r="I76" s="196">
        <v>4031.5</v>
      </c>
      <c r="J76" s="196">
        <v>4109</v>
      </c>
      <c r="K76" s="196">
        <v>4779</v>
      </c>
      <c r="L76" s="196">
        <v>5209</v>
      </c>
      <c r="M76" s="196">
        <v>5793</v>
      </c>
      <c r="N76" s="196">
        <v>5748.5337000000009</v>
      </c>
      <c r="O76" s="196">
        <v>6093.4457220000013</v>
      </c>
      <c r="P76" s="196">
        <v>6471.6595944000001</v>
      </c>
      <c r="Q76" s="196">
        <v>6795.2425741200004</v>
      </c>
      <c r="R76" s="196">
        <v>7135.0047028259996</v>
      </c>
      <c r="S76" s="196">
        <v>7491.7549379673001</v>
      </c>
      <c r="T76" s="196">
        <v>7866.3426848656673</v>
      </c>
      <c r="U76" s="275">
        <v>8259.6598191089506</v>
      </c>
    </row>
    <row r="77" spans="2:21" ht="18" customHeight="1" x14ac:dyDescent="0.3">
      <c r="B77" s="276" t="s">
        <v>361</v>
      </c>
      <c r="C77" s="277"/>
      <c r="D77" s="264">
        <v>0.41578678763821941</v>
      </c>
      <c r="E77" s="264">
        <v>0.4695015482038507</v>
      </c>
      <c r="F77" s="264">
        <v>0.46831106543336759</v>
      </c>
      <c r="G77" s="264">
        <v>0.42415338752225101</v>
      </c>
      <c r="H77" s="264">
        <v>0.40876612595771894</v>
      </c>
      <c r="I77" s="264">
        <v>0.41508792883324414</v>
      </c>
      <c r="J77" s="264">
        <v>0.38720316622691292</v>
      </c>
      <c r="K77" s="264">
        <v>0.42213585372316931</v>
      </c>
      <c r="L77" s="264">
        <v>0.43160162399536001</v>
      </c>
      <c r="M77" s="264">
        <v>0.46466672014117272</v>
      </c>
      <c r="N77" s="264">
        <v>0.43500000000000005</v>
      </c>
      <c r="O77" s="264">
        <v>0.43500000000000005</v>
      </c>
      <c r="P77" s="264">
        <v>0.43999999999999995</v>
      </c>
      <c r="Q77" s="264">
        <v>0.44</v>
      </c>
      <c r="R77" s="264">
        <v>0.43999999999999989</v>
      </c>
      <c r="S77" s="264">
        <v>0.43999999999999989</v>
      </c>
      <c r="T77" s="264">
        <v>0.44</v>
      </c>
      <c r="U77" s="278">
        <v>0.44</v>
      </c>
    </row>
    <row r="78" spans="2:21" ht="18" customHeight="1" x14ac:dyDescent="0.3">
      <c r="B78" s="276" t="s">
        <v>359</v>
      </c>
      <c r="C78" s="277"/>
      <c r="D78" s="263"/>
      <c r="E78" s="264">
        <v>0.100130925754187</v>
      </c>
      <c r="F78" s="264">
        <v>8.4570946867329341E-2</v>
      </c>
      <c r="G78" s="264">
        <v>-9.5784564740307249E-2</v>
      </c>
      <c r="H78" s="264">
        <v>-0.15968043687111277</v>
      </c>
      <c r="I78" s="264">
        <v>0.21291894819182855</v>
      </c>
      <c r="J78" s="264">
        <v>1.9223614039439414E-2</v>
      </c>
      <c r="K78" s="264">
        <v>0.16305670479435386</v>
      </c>
      <c r="L78" s="264">
        <v>8.9976982632349864E-2</v>
      </c>
      <c r="M78" s="264">
        <v>0.11211364945287003</v>
      </c>
      <c r="N78" s="264">
        <v>-7.6758674262038902E-3</v>
      </c>
      <c r="O78" s="264">
        <v>6.0000000000000067E-2</v>
      </c>
      <c r="P78" s="264">
        <v>6.2068965517241163E-2</v>
      </c>
      <c r="Q78" s="264">
        <v>5.0000000000000058E-2</v>
      </c>
      <c r="R78" s="264">
        <v>4.9999999999999878E-2</v>
      </c>
      <c r="S78" s="264">
        <v>5.0000000000000065E-2</v>
      </c>
      <c r="T78" s="264">
        <v>5.0000000000000294E-2</v>
      </c>
      <c r="U78" s="278">
        <v>0.05</v>
      </c>
    </row>
    <row r="79" spans="2:21" ht="3" customHeight="1" x14ac:dyDescent="0.3">
      <c r="B79" s="276"/>
      <c r="C79" s="277"/>
      <c r="D79" s="263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78"/>
    </row>
    <row r="80" spans="2:21" ht="3" customHeight="1" x14ac:dyDescent="0.3">
      <c r="B80" s="276"/>
      <c r="C80" s="277"/>
      <c r="D80" s="265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79"/>
    </row>
    <row r="81" spans="2:21" ht="18" customHeight="1" x14ac:dyDescent="0.3">
      <c r="B81" s="273" t="s">
        <v>360</v>
      </c>
      <c r="D81" s="196">
        <v>991.39999999999964</v>
      </c>
      <c r="E81" s="196">
        <v>1209.1999999999998</v>
      </c>
      <c r="F81" s="196">
        <v>1393.7999999999993</v>
      </c>
      <c r="G81" s="196">
        <v>1570.9999999999995</v>
      </c>
      <c r="H81" s="196">
        <v>1051.4000000000001</v>
      </c>
      <c r="I81" s="196">
        <v>1595.1999999999998</v>
      </c>
      <c r="J81" s="196">
        <v>1417</v>
      </c>
      <c r="K81" s="196">
        <v>2000</v>
      </c>
      <c r="L81" s="196">
        <v>2236</v>
      </c>
      <c r="M81" s="196">
        <v>2279</v>
      </c>
      <c r="N81" s="196">
        <v>2212.9139118510534</v>
      </c>
      <c r="O81" s="196">
        <v>2345.6887465621171</v>
      </c>
      <c r="P81" s="196">
        <v>2536.5147701902215</v>
      </c>
      <c r="Q81" s="196">
        <v>2663.3405086997327</v>
      </c>
      <c r="R81" s="196">
        <v>2796.5075341347183</v>
      </c>
      <c r="S81" s="196">
        <v>2936.3329108414546</v>
      </c>
      <c r="T81" s="196">
        <v>3083.1495563835288</v>
      </c>
      <c r="U81" s="275">
        <v>3237.3070342027049</v>
      </c>
    </row>
    <row r="82" spans="2:21" ht="18" customHeight="1" x14ac:dyDescent="0.3">
      <c r="B82" s="280" t="s">
        <v>362</v>
      </c>
      <c r="C82" s="281"/>
      <c r="D82" s="264">
        <v>0.11243549759001981</v>
      </c>
      <c r="E82" s="264">
        <v>0.14075850348054847</v>
      </c>
      <c r="F82" s="264">
        <v>0.14921634121274402</v>
      </c>
      <c r="G82" s="264">
        <v>0.16846462350140473</v>
      </c>
      <c r="H82" s="264">
        <v>0.1293028175076556</v>
      </c>
      <c r="I82" s="264">
        <v>0.16424364729623986</v>
      </c>
      <c r="J82" s="264">
        <v>0.13352808141726347</v>
      </c>
      <c r="K82" s="264">
        <v>0.17666283897182228</v>
      </c>
      <c r="L82" s="264">
        <v>0.18526804209130832</v>
      </c>
      <c r="M82" s="264">
        <v>0.18280259886099301</v>
      </c>
      <c r="N82" s="264">
        <v>0.16745445045494092</v>
      </c>
      <c r="O82" s="264">
        <v>0.16745445045494095</v>
      </c>
      <c r="P82" s="264">
        <v>0.17245445045494084</v>
      </c>
      <c r="Q82" s="264">
        <v>0.17245445045494084</v>
      </c>
      <c r="R82" s="264">
        <v>0.17245445045494076</v>
      </c>
      <c r="S82" s="264">
        <v>0.17245445045494079</v>
      </c>
      <c r="T82" s="264">
        <v>0.17245445045494084</v>
      </c>
      <c r="U82" s="278">
        <v>0.17245445045494084</v>
      </c>
    </row>
    <row r="83" spans="2:21" ht="18" customHeight="1" x14ac:dyDescent="0.3">
      <c r="B83" s="280" t="s">
        <v>359</v>
      </c>
      <c r="C83" s="281"/>
      <c r="D83" s="264"/>
      <c r="E83" s="264">
        <v>0.21968932822271561</v>
      </c>
      <c r="F83" s="264">
        <v>0.15266291763149148</v>
      </c>
      <c r="G83" s="264">
        <v>0.12713445257569261</v>
      </c>
      <c r="H83" s="264">
        <v>-0.33074474856779096</v>
      </c>
      <c r="I83" s="264">
        <v>0.51721514171580718</v>
      </c>
      <c r="J83" s="264">
        <v>-0.11171013039117342</v>
      </c>
      <c r="K83" s="264">
        <v>0.41143260409315457</v>
      </c>
      <c r="L83" s="264">
        <v>0.11799999999999999</v>
      </c>
      <c r="M83" s="264">
        <v>1.9230769230769232E-2</v>
      </c>
      <c r="N83" s="264">
        <v>-2.8997844734070469E-2</v>
      </c>
      <c r="O83" s="264">
        <v>6.0000000000000227E-2</v>
      </c>
      <c r="P83" s="264">
        <v>8.1351809317319862E-2</v>
      </c>
      <c r="Q83" s="264">
        <v>5.0000000000000051E-2</v>
      </c>
      <c r="R83" s="264">
        <v>4.9999999999999607E-2</v>
      </c>
      <c r="S83" s="264">
        <v>5.0000000000000128E-2</v>
      </c>
      <c r="T83" s="264">
        <v>5.0000000000000495E-2</v>
      </c>
      <c r="U83" s="278">
        <v>4.9999999999999913E-2</v>
      </c>
    </row>
    <row r="84" spans="2:21" ht="3" customHeight="1" x14ac:dyDescent="0.3">
      <c r="B84" s="280"/>
      <c r="C84" s="281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78"/>
    </row>
    <row r="85" spans="2:21" ht="3" customHeight="1" x14ac:dyDescent="0.3">
      <c r="B85" s="280"/>
      <c r="C85" s="281"/>
      <c r="D85" s="265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79"/>
    </row>
    <row r="86" spans="2:21" ht="18" customHeight="1" x14ac:dyDescent="0.3">
      <c r="B86" s="273" t="s">
        <v>33</v>
      </c>
      <c r="D86" s="196">
        <v>802.79999999999961</v>
      </c>
      <c r="E86" s="196">
        <v>1016.8999999999999</v>
      </c>
      <c r="F86" s="196">
        <v>1179.0999999999992</v>
      </c>
      <c r="G86" s="196">
        <v>1285.6999999999996</v>
      </c>
      <c r="H86" s="196">
        <v>752.30000000000007</v>
      </c>
      <c r="I86" s="196">
        <v>1291.3999999999999</v>
      </c>
      <c r="J86" s="196">
        <v>1134</v>
      </c>
      <c r="K86" s="196">
        <v>1725</v>
      </c>
      <c r="L86" s="196">
        <v>1953</v>
      </c>
      <c r="M86" s="196">
        <v>1990</v>
      </c>
      <c r="N86" s="196">
        <v>1837.4625033510533</v>
      </c>
      <c r="O86" s="196">
        <v>1934.327630052117</v>
      </c>
      <c r="P86" s="196">
        <v>2090.6087549597214</v>
      </c>
      <c r="Q86" s="196">
        <v>2183.8143519613077</v>
      </c>
      <c r="R86" s="196">
        <v>2283.5366303169922</v>
      </c>
      <c r="S86" s="196">
        <v>2389.5445036432757</v>
      </c>
      <c r="T86" s="196">
        <v>2501.7624073728448</v>
      </c>
      <c r="U86" s="275">
        <v>2620.2279520047696</v>
      </c>
    </row>
    <row r="87" spans="2:21" ht="18" customHeight="1" x14ac:dyDescent="0.3">
      <c r="B87" s="280" t="s">
        <v>333</v>
      </c>
      <c r="C87" s="281"/>
      <c r="D87" s="264">
        <v>9.1046214913524201E-2</v>
      </c>
      <c r="E87" s="264">
        <v>0.11837357111261144</v>
      </c>
      <c r="F87" s="264">
        <v>0.12623115793079814</v>
      </c>
      <c r="G87" s="264">
        <v>0.13787076157591091</v>
      </c>
      <c r="H87" s="264">
        <v>9.2519031397193571E-2</v>
      </c>
      <c r="I87" s="264">
        <v>0.13296404596186318</v>
      </c>
      <c r="J87" s="264">
        <v>0.10686015831134564</v>
      </c>
      <c r="K87" s="264">
        <v>0.15237169861319672</v>
      </c>
      <c r="L87" s="264">
        <v>0.16181953765846382</v>
      </c>
      <c r="M87" s="264">
        <v>0.15962140049731291</v>
      </c>
      <c r="N87" s="264">
        <v>0.13904349016127507</v>
      </c>
      <c r="O87" s="264">
        <v>0.13808812902603398</v>
      </c>
      <c r="P87" s="264">
        <v>0.1421378610485399</v>
      </c>
      <c r="Q87" s="264">
        <v>0.14140456420533468</v>
      </c>
      <c r="R87" s="264">
        <v>0.14082066644490326</v>
      </c>
      <c r="S87" s="264">
        <v>0.14034089346338283</v>
      </c>
      <c r="T87" s="264">
        <v>0.13993484689675065</v>
      </c>
      <c r="U87" s="278">
        <v>0.13958205593586701</v>
      </c>
    </row>
    <row r="88" spans="2:21" ht="18" customHeight="1" x14ac:dyDescent="0.3">
      <c r="B88" s="280" t="s">
        <v>359</v>
      </c>
      <c r="C88" s="281"/>
      <c r="D88" s="264"/>
      <c r="E88" s="264">
        <v>0.26669157947184896</v>
      </c>
      <c r="F88" s="264">
        <v>0.15950437604484155</v>
      </c>
      <c r="G88" s="264">
        <v>9.0407938257993758E-2</v>
      </c>
      <c r="H88" s="264">
        <v>-0.41487127634751475</v>
      </c>
      <c r="I88" s="264">
        <v>0.71660241924764023</v>
      </c>
      <c r="J88" s="264">
        <v>-0.12188322750503321</v>
      </c>
      <c r="K88" s="264">
        <v>0.52116402116402116</v>
      </c>
      <c r="L88" s="264">
        <v>0.13217391304347825</v>
      </c>
      <c r="M88" s="264">
        <v>1.8945212493599591E-2</v>
      </c>
      <c r="N88" s="264">
        <v>-7.6652008366304855E-2</v>
      </c>
      <c r="O88" s="264">
        <v>5.271679096820038E-2</v>
      </c>
      <c r="P88" s="264">
        <v>8.079351319786178E-2</v>
      </c>
      <c r="Q88" s="264">
        <v>4.4582993723941436E-2</v>
      </c>
      <c r="R88" s="264">
        <v>4.5664265493137172E-2</v>
      </c>
      <c r="S88" s="264">
        <v>4.642267258553584E-2</v>
      </c>
      <c r="T88" s="264">
        <v>4.6962048021484189E-2</v>
      </c>
      <c r="U88" s="278">
        <v>4.7352835857953447E-2</v>
      </c>
    </row>
    <row r="89" spans="2:21" ht="3" customHeight="1" x14ac:dyDescent="0.3">
      <c r="B89" s="280"/>
      <c r="C89" s="281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78"/>
    </row>
    <row r="90" spans="2:21" ht="3" customHeight="1" x14ac:dyDescent="0.3">
      <c r="B90" s="280"/>
      <c r="C90" s="281"/>
      <c r="D90" s="265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79"/>
    </row>
    <row r="91" spans="2:21" ht="18" customHeight="1" x14ac:dyDescent="0.3">
      <c r="B91" s="282" t="s">
        <v>363</v>
      </c>
      <c r="D91" s="196">
        <v>93</v>
      </c>
      <c r="E91" s="196">
        <v>651.9</v>
      </c>
      <c r="F91" s="196">
        <v>683.6</v>
      </c>
      <c r="G91" s="196">
        <v>620.6</v>
      </c>
      <c r="H91" s="196">
        <v>362.10000000000014</v>
      </c>
      <c r="I91" s="196">
        <v>810.6</v>
      </c>
      <c r="J91" s="196">
        <v>1125.8</v>
      </c>
      <c r="K91" s="196">
        <v>1408</v>
      </c>
      <c r="L91" s="196">
        <v>1582</v>
      </c>
      <c r="M91" s="196">
        <v>1838</v>
      </c>
      <c r="N91" s="196">
        <v>1459.2636447382899</v>
      </c>
      <c r="O91" s="196">
        <v>1519.627660282649</v>
      </c>
      <c r="P91" s="196">
        <v>1658.7493071111353</v>
      </c>
      <c r="Q91" s="196">
        <v>1730.6053952735442</v>
      </c>
      <c r="R91" s="196">
        <v>1828.7329055765924</v>
      </c>
      <c r="S91" s="196">
        <v>1912.5675759357496</v>
      </c>
      <c r="T91" s="196">
        <v>2022.471515777992</v>
      </c>
      <c r="U91" s="275">
        <v>2118.1171546145952</v>
      </c>
    </row>
    <row r="92" spans="2:21" ht="18" customHeight="1" x14ac:dyDescent="0.3">
      <c r="B92" s="280" t="s">
        <v>364</v>
      </c>
      <c r="C92" s="281"/>
      <c r="D92" s="264">
        <v>1.0547207258293168E-2</v>
      </c>
      <c r="E92" s="264">
        <v>7.5885269946220288E-2</v>
      </c>
      <c r="F92" s="264">
        <v>7.3184309695101077E-2</v>
      </c>
      <c r="G92" s="264">
        <v>6.6549424153387521E-2</v>
      </c>
      <c r="H92" s="264">
        <v>4.4531624709456069E-2</v>
      </c>
      <c r="I92" s="264">
        <v>8.3460318767760805E-2</v>
      </c>
      <c r="J92" s="264">
        <v>0.10608744817188089</v>
      </c>
      <c r="K92" s="264">
        <v>0.12437063863616288</v>
      </c>
      <c r="L92" s="264">
        <v>0.13107962548678431</v>
      </c>
      <c r="M92" s="264">
        <v>0.14742921312264379</v>
      </c>
      <c r="N92" s="264">
        <v>0.11042462627663749</v>
      </c>
      <c r="O92" s="264">
        <v>0.1084834529396588</v>
      </c>
      <c r="P92" s="264">
        <v>0.11277628009984435</v>
      </c>
      <c r="Q92" s="264">
        <v>0.11205874780989272</v>
      </c>
      <c r="R92" s="264">
        <v>0.1127739240501133</v>
      </c>
      <c r="S92" s="264">
        <v>0.11232745069475772</v>
      </c>
      <c r="T92" s="264">
        <v>0.11312594716403623</v>
      </c>
      <c r="U92" s="278">
        <v>0.11283413220896579</v>
      </c>
    </row>
    <row r="93" spans="2:21" ht="18" customHeight="1" x14ac:dyDescent="0.3">
      <c r="B93" s="283" t="s">
        <v>359</v>
      </c>
      <c r="C93" s="151"/>
      <c r="D93" s="284"/>
      <c r="E93" s="285">
        <v>6.0096774193548388</v>
      </c>
      <c r="F93" s="285">
        <v>4.862709004448542E-2</v>
      </c>
      <c r="G93" s="285">
        <v>-9.2159157401989461E-2</v>
      </c>
      <c r="H93" s="285">
        <v>-0.41653238801160147</v>
      </c>
      <c r="I93" s="285">
        <v>1.2386081193040588</v>
      </c>
      <c r="J93" s="285">
        <v>0.38884776708610896</v>
      </c>
      <c r="K93" s="285">
        <v>0.25066619292947245</v>
      </c>
      <c r="L93" s="285">
        <v>0.12357954545454546</v>
      </c>
      <c r="M93" s="285">
        <v>0.16182048040455121</v>
      </c>
      <c r="N93" s="285">
        <v>-0.20605895280832973</v>
      </c>
      <c r="O93" s="285">
        <v>4.1366079229079256E-2</v>
      </c>
      <c r="P93" s="285">
        <v>9.1549825305634297E-2</v>
      </c>
      <c r="Q93" s="285">
        <v>4.3319438238411639E-2</v>
      </c>
      <c r="R93" s="285">
        <v>5.6701262212081521E-2</v>
      </c>
      <c r="S93" s="285">
        <v>4.5843037057795161E-2</v>
      </c>
      <c r="T93" s="285">
        <v>5.7464081910136112E-2</v>
      </c>
      <c r="U93" s="286">
        <v>4.7291463978819413E-2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73BD-A3B3-42FF-B722-F2F05493AEC5}">
  <dimension ref="B2:W28"/>
  <sheetViews>
    <sheetView showGridLines="0" zoomScale="94" zoomScaleNormal="76" workbookViewId="0">
      <selection activeCell="C7" sqref="C7"/>
    </sheetView>
  </sheetViews>
  <sheetFormatPr defaultRowHeight="18" customHeight="1" x14ac:dyDescent="0.3"/>
  <cols>
    <col min="1" max="1" width="2.77734375" customWidth="1"/>
    <col min="2" max="2" width="50.77734375" customWidth="1"/>
    <col min="3" max="6" width="10.77734375" style="32" customWidth="1"/>
    <col min="14" max="23" width="10.77734375" customWidth="1"/>
  </cols>
  <sheetData>
    <row r="2" spans="2:23" ht="18" customHeight="1" x14ac:dyDescent="0.4">
      <c r="B2" s="45" t="s">
        <v>258</v>
      </c>
      <c r="J2" s="246" t="str">
        <f>PL!T2</f>
        <v>CURRENTLY RUNNING: BASE SCENARIO</v>
      </c>
      <c r="N2" s="45" t="s">
        <v>263</v>
      </c>
    </row>
    <row r="4" spans="2:23" ht="18" customHeight="1" x14ac:dyDescent="0.3">
      <c r="B4" s="125" t="s">
        <v>17</v>
      </c>
      <c r="C4" s="126">
        <v>2027</v>
      </c>
      <c r="D4" s="126">
        <f>C4+1</f>
        <v>2028</v>
      </c>
      <c r="E4" s="126">
        <f t="shared" ref="E4:F4" si="0">D4+1</f>
        <v>2029</v>
      </c>
      <c r="F4" s="126">
        <f t="shared" si="0"/>
        <v>2030</v>
      </c>
      <c r="G4" s="126">
        <f t="shared" ref="G4" si="1">F4+1</f>
        <v>2031</v>
      </c>
      <c r="H4" s="126">
        <f t="shared" ref="H4" si="2">G4+1</f>
        <v>2032</v>
      </c>
      <c r="I4" s="126">
        <f t="shared" ref="I4" si="3">H4+1</f>
        <v>2033</v>
      </c>
      <c r="J4" s="127">
        <f t="shared" ref="J4" si="4">I4+1</f>
        <v>2034</v>
      </c>
      <c r="K4" s="1"/>
      <c r="L4" s="1"/>
      <c r="M4" s="1"/>
      <c r="N4" s="130" t="s">
        <v>264</v>
      </c>
      <c r="O4" s="75"/>
      <c r="P4" s="75"/>
      <c r="Q4" s="143">
        <v>7.0000000000000007E-2</v>
      </c>
      <c r="R4" s="75" t="s">
        <v>278</v>
      </c>
      <c r="S4" s="75"/>
      <c r="T4" s="75"/>
      <c r="U4" s="75"/>
      <c r="V4" s="76"/>
    </row>
    <row r="5" spans="2:23" ht="18" customHeight="1" x14ac:dyDescent="0.3">
      <c r="B5" s="68"/>
      <c r="G5" s="32"/>
      <c r="H5" s="32"/>
      <c r="I5" s="32"/>
      <c r="J5" s="71"/>
      <c r="N5" s="68" t="s">
        <v>296</v>
      </c>
      <c r="Q5" s="25">
        <v>0.11</v>
      </c>
      <c r="R5" t="s">
        <v>297</v>
      </c>
      <c r="V5" s="144"/>
    </row>
    <row r="6" spans="2:23" ht="18" customHeight="1" x14ac:dyDescent="0.3">
      <c r="B6" s="68" t="s">
        <v>33</v>
      </c>
      <c r="C6" s="33">
        <f>PL!M14</f>
        <v>2170.3112506157067</v>
      </c>
      <c r="D6" s="33">
        <f>PL!N14</f>
        <v>2433.4847989211189</v>
      </c>
      <c r="E6" s="33">
        <f>PL!O14</f>
        <v>2700.3359111473101</v>
      </c>
      <c r="F6" s="33">
        <f>PL!P14</f>
        <v>2965.1878550398446</v>
      </c>
      <c r="G6" s="33">
        <f>PL!Q14</f>
        <v>3148.0789679382733</v>
      </c>
      <c r="H6" s="33">
        <f>PL!R14</f>
        <v>3344.6650162987617</v>
      </c>
      <c r="I6" s="33">
        <f>PL!S14</f>
        <v>3555.2940669892469</v>
      </c>
      <c r="J6" s="70">
        <f>PL!T14</f>
        <v>3780.4994424052056</v>
      </c>
      <c r="N6" s="68" t="s">
        <v>265</v>
      </c>
      <c r="Q6" s="141">
        <f>Q5-Q4</f>
        <v>3.9999999999999994E-2</v>
      </c>
      <c r="R6" t="s">
        <v>294</v>
      </c>
      <c r="V6" s="144"/>
    </row>
    <row r="7" spans="2:23" ht="18" customHeight="1" x14ac:dyDescent="0.3">
      <c r="B7" s="68" t="s">
        <v>26</v>
      </c>
      <c r="C7" s="128">
        <f>Assumptions!E10</f>
        <v>0.25</v>
      </c>
      <c r="D7" s="128">
        <f>Assumptions!F10</f>
        <v>0.25</v>
      </c>
      <c r="E7" s="128">
        <f>Assumptions!G10</f>
        <v>0.25</v>
      </c>
      <c r="F7" s="128">
        <f>Assumptions!H10</f>
        <v>0.25</v>
      </c>
      <c r="G7" s="128">
        <f>Assumptions!I10</f>
        <v>0.25</v>
      </c>
      <c r="H7" s="128">
        <f>Assumptions!J10</f>
        <v>0.25</v>
      </c>
      <c r="I7" s="128">
        <f>Assumptions!K10</f>
        <v>0.25</v>
      </c>
      <c r="J7" s="129">
        <f>Assumptions!L10</f>
        <v>0.25</v>
      </c>
      <c r="N7" s="68" t="s">
        <v>266</v>
      </c>
      <c r="Q7" s="142">
        <v>0.92</v>
      </c>
      <c r="R7" t="s">
        <v>279</v>
      </c>
      <c r="V7" s="144"/>
    </row>
    <row r="8" spans="2:23" ht="18" customHeight="1" x14ac:dyDescent="0.3">
      <c r="B8" s="66" t="s">
        <v>259</v>
      </c>
      <c r="C8" s="30">
        <f>C6*(1-C7)</f>
        <v>1627.7334379617801</v>
      </c>
      <c r="D8" s="30">
        <f t="shared" ref="D8:F8" si="5">D6*(1-D7)</f>
        <v>1825.1135991908391</v>
      </c>
      <c r="E8" s="30">
        <f t="shared" si="5"/>
        <v>2025.2519333604826</v>
      </c>
      <c r="F8" s="30">
        <f t="shared" si="5"/>
        <v>2223.8908912798834</v>
      </c>
      <c r="G8" s="30">
        <f t="shared" ref="G8:J8" si="6">G6*(1-G7)</f>
        <v>2361.0592259537052</v>
      </c>
      <c r="H8" s="30">
        <f t="shared" si="6"/>
        <v>2508.4987622240715</v>
      </c>
      <c r="I8" s="30">
        <f t="shared" si="6"/>
        <v>2666.4705502419351</v>
      </c>
      <c r="J8" s="85">
        <f t="shared" si="6"/>
        <v>2835.3745818039042</v>
      </c>
      <c r="N8" s="68" t="s">
        <v>267</v>
      </c>
      <c r="Q8" s="106">
        <f>Q4+Q7*Q6</f>
        <v>0.10680000000000001</v>
      </c>
      <c r="V8" s="144"/>
    </row>
    <row r="9" spans="2:23" ht="18" customHeight="1" x14ac:dyDescent="0.3">
      <c r="B9" s="68" t="s">
        <v>260</v>
      </c>
      <c r="C9" s="33">
        <f>-PL!M13</f>
        <v>377.01290025000003</v>
      </c>
      <c r="D9" s="33">
        <f>-PL!N13</f>
        <v>417.15873902250001</v>
      </c>
      <c r="E9" s="33">
        <f>-PL!O13</f>
        <v>458.34414041180003</v>
      </c>
      <c r="F9" s="33">
        <f>-PL!P13</f>
        <v>500.18378284900103</v>
      </c>
      <c r="G9" s="33">
        <f>-PL!Q13</f>
        <v>542.5418264133466</v>
      </c>
      <c r="H9" s="33">
        <f>-PL!R13</f>
        <v>585.84612968571287</v>
      </c>
      <c r="I9" s="33">
        <f>-PL!S13</f>
        <v>630.70030348421983</v>
      </c>
      <c r="J9" s="70">
        <f>-PL!T13</f>
        <v>677.58456214903549</v>
      </c>
      <c r="N9" s="72" t="s">
        <v>281</v>
      </c>
      <c r="O9" s="145"/>
      <c r="P9" s="145"/>
      <c r="Q9" s="146">
        <f>Q8</f>
        <v>0.10680000000000001</v>
      </c>
      <c r="R9" s="145" t="s">
        <v>282</v>
      </c>
      <c r="S9" s="145"/>
      <c r="T9" s="145"/>
      <c r="U9" s="145"/>
      <c r="V9" s="147"/>
    </row>
    <row r="10" spans="2:23" ht="18" customHeight="1" x14ac:dyDescent="0.3">
      <c r="B10" s="68" t="s">
        <v>137</v>
      </c>
      <c r="C10" s="33">
        <f>-'Working Schedules'!H42</f>
        <v>-203.83545000000001</v>
      </c>
      <c r="D10" s="33">
        <f>-'Working Schedules'!I42</f>
        <v>-222.18064050000001</v>
      </c>
      <c r="E10" s="33">
        <f>-'Working Schedules'!J42</f>
        <v>-239.95509174000003</v>
      </c>
      <c r="F10" s="33">
        <f>-'Working Schedules'!K42</f>
        <v>-256.75194816180004</v>
      </c>
      <c r="G10" s="33">
        <f>-'Working Schedules'!L42</f>
        <v>-273.44082479231702</v>
      </c>
      <c r="H10" s="33">
        <f>-'Working Schedules'!M42</f>
        <v>-291.21447840381762</v>
      </c>
      <c r="I10" s="33">
        <f>-'Working Schedules'!N42</f>
        <v>-310.1434195000657</v>
      </c>
      <c r="J10" s="70">
        <f>-'Working Schedules'!O42</f>
        <v>-330.30274176756996</v>
      </c>
    </row>
    <row r="11" spans="2:23" ht="18" customHeight="1" x14ac:dyDescent="0.3">
      <c r="B11" s="68" t="s">
        <v>261</v>
      </c>
      <c r="C11" s="33">
        <f>-'Working Capital Schedule'!M21</f>
        <v>-685.86950657534271</v>
      </c>
      <c r="D11" s="33">
        <f>-'Working Capital Schedule'!N21</f>
        <v>124.64106204383552</v>
      </c>
      <c r="E11" s="33">
        <f>-'Working Capital Schedule'!O21</f>
        <v>-495.70165858728797</v>
      </c>
      <c r="F11" s="33">
        <f>-'Working Capital Schedule'!P21</f>
        <v>138.5486435490202</v>
      </c>
      <c r="G11" s="33">
        <f>-'Working Capital Schedule'!Q21</f>
        <v>-527.54842827025732</v>
      </c>
      <c r="H11" s="33">
        <f>-'Working Capital Schedule'!R21</f>
        <v>98.475629937657686</v>
      </c>
      <c r="I11" s="33">
        <f>-'Working Capital Schedule'!S21</f>
        <v>-553.82515100318051</v>
      </c>
      <c r="J11" s="70">
        <f>-'Working Capital Schedule'!T21</f>
        <v>70.579635730822702</v>
      </c>
    </row>
    <row r="12" spans="2:23" ht="18" customHeight="1" x14ac:dyDescent="0.3">
      <c r="B12" s="66" t="s">
        <v>19</v>
      </c>
      <c r="C12" s="30">
        <f>SUM(C8:C11)</f>
        <v>1115.0413816364373</v>
      </c>
      <c r="D12" s="30">
        <f>SUM(D8:D11)</f>
        <v>2144.7327597571748</v>
      </c>
      <c r="E12" s="30">
        <f>SUM(E8:E11)</f>
        <v>1747.9393234449944</v>
      </c>
      <c r="F12" s="30">
        <f>SUM(F8:F11)</f>
        <v>2605.8713695161046</v>
      </c>
      <c r="G12" s="30">
        <f t="shared" ref="G12:J12" si="7">SUM(G8:G11)</f>
        <v>2102.6117993044777</v>
      </c>
      <c r="H12" s="30">
        <f t="shared" si="7"/>
        <v>2901.6060434436245</v>
      </c>
      <c r="I12" s="30">
        <f t="shared" si="7"/>
        <v>2433.2022832229086</v>
      </c>
      <c r="J12" s="85">
        <f t="shared" si="7"/>
        <v>3253.2360379161923</v>
      </c>
      <c r="Q12" s="51"/>
    </row>
    <row r="13" spans="2:23" ht="18" customHeight="1" x14ac:dyDescent="0.3">
      <c r="B13" s="72" t="s">
        <v>283</v>
      </c>
      <c r="C13" s="73">
        <v>1</v>
      </c>
      <c r="D13" s="73">
        <f>C13+1</f>
        <v>2</v>
      </c>
      <c r="E13" s="73">
        <f t="shared" ref="E13:J13" si="8">D13+1</f>
        <v>3</v>
      </c>
      <c r="F13" s="73">
        <f t="shared" si="8"/>
        <v>4</v>
      </c>
      <c r="G13" s="73">
        <f t="shared" si="8"/>
        <v>5</v>
      </c>
      <c r="H13" s="73">
        <f t="shared" si="8"/>
        <v>6</v>
      </c>
      <c r="I13" s="73">
        <f t="shared" si="8"/>
        <v>7</v>
      </c>
      <c r="J13" s="74">
        <f t="shared" si="8"/>
        <v>8</v>
      </c>
      <c r="Q13" s="4"/>
    </row>
    <row r="14" spans="2:23" ht="18" customHeight="1" x14ac:dyDescent="0.3">
      <c r="G14" s="32"/>
      <c r="H14" s="32"/>
      <c r="I14" s="32"/>
      <c r="J14" s="32"/>
    </row>
    <row r="15" spans="2:23" ht="18" customHeight="1" x14ac:dyDescent="0.3">
      <c r="B15" s="92" t="s">
        <v>284</v>
      </c>
      <c r="C15" s="93">
        <f>C12/(1+$Q$9)^C13</f>
        <v>1007.4461344745549</v>
      </c>
      <c r="D15" s="93">
        <f>D12/(1+$Q$9)^D13</f>
        <v>1750.7933345361366</v>
      </c>
      <c r="E15" s="93">
        <f>E12/(1+$Q$9)^E13</f>
        <v>1289.195857667605</v>
      </c>
      <c r="F15" s="93">
        <f>F12/(1+$Q$9)^F13</f>
        <v>1736.5063368527192</v>
      </c>
      <c r="G15" s="93">
        <f t="shared" ref="G15:J15" si="9">G12/(1+$Q$9)^G13</f>
        <v>1265.9406481933961</v>
      </c>
      <c r="H15" s="93">
        <f t="shared" si="9"/>
        <v>1578.4235222359116</v>
      </c>
      <c r="I15" s="93">
        <f t="shared" si="9"/>
        <v>1195.8980618292983</v>
      </c>
      <c r="J15" s="94">
        <f t="shared" si="9"/>
        <v>1444.6490982404355</v>
      </c>
    </row>
    <row r="16" spans="2:23" ht="18" customHeight="1" x14ac:dyDescent="0.4">
      <c r="E16" s="198"/>
      <c r="F16" s="198"/>
      <c r="G16" s="199"/>
      <c r="H16" s="199"/>
      <c r="I16" s="199"/>
      <c r="J16" s="199"/>
      <c r="N16" s="45" t="s">
        <v>295</v>
      </c>
      <c r="U16" s="148" t="s">
        <v>298</v>
      </c>
      <c r="V16" s="148"/>
      <c r="W16" s="148" t="s">
        <v>281</v>
      </c>
    </row>
    <row r="17" spans="2:23" ht="18" customHeight="1" x14ac:dyDescent="0.3">
      <c r="B17" s="120"/>
      <c r="C17" s="121"/>
      <c r="D17" s="121"/>
      <c r="U17" s="148" t="s">
        <v>299</v>
      </c>
      <c r="V17" s="148"/>
      <c r="W17" s="148" t="s">
        <v>300</v>
      </c>
    </row>
    <row r="18" spans="2:23" ht="18" customHeight="1" x14ac:dyDescent="0.3">
      <c r="B18" s="130" t="s">
        <v>286</v>
      </c>
      <c r="C18" s="131">
        <v>0.06</v>
      </c>
      <c r="N18" s="133">
        <f>IF(C28&lt;0,"",C28)</f>
        <v>642.24000134405298</v>
      </c>
      <c r="O18" s="134">
        <v>0.08</v>
      </c>
      <c r="P18" s="134">
        <f>O18+0.5%</f>
        <v>8.5000000000000006E-2</v>
      </c>
      <c r="Q18" s="134">
        <f t="shared" ref="Q18:W18" si="10">P18+0.5%</f>
        <v>9.0000000000000011E-2</v>
      </c>
      <c r="R18" s="134">
        <f t="shared" si="10"/>
        <v>9.5000000000000015E-2</v>
      </c>
      <c r="S18" s="134">
        <f>R18+0.5%</f>
        <v>0.10000000000000002</v>
      </c>
      <c r="T18" s="134">
        <v>0.10680000000000001</v>
      </c>
      <c r="U18" s="134">
        <v>0.12</v>
      </c>
      <c r="V18" s="134">
        <f t="shared" si="10"/>
        <v>0.125</v>
      </c>
      <c r="W18" s="135">
        <f t="shared" si="10"/>
        <v>0.13</v>
      </c>
    </row>
    <row r="19" spans="2:23" ht="18" customHeight="1" x14ac:dyDescent="0.3">
      <c r="B19" s="68" t="s">
        <v>285</v>
      </c>
      <c r="C19" s="132">
        <f>J12</f>
        <v>3253.2360379161923</v>
      </c>
      <c r="D19"/>
      <c r="N19" s="136">
        <v>0.05</v>
      </c>
      <c r="O19" s="124">
        <f t="dataTable" ref="O19:W27" dt2D="1" dtr="1" r1="Q9" r2="C18"/>
        <v>1056.5689857807029</v>
      </c>
      <c r="P19" s="124">
        <v>905.78037773843573</v>
      </c>
      <c r="Q19" s="124">
        <v>792.81642123797985</v>
      </c>
      <c r="R19" s="124">
        <v>705.06463466108016</v>
      </c>
      <c r="S19" s="124">
        <v>634.95769767715194</v>
      </c>
      <c r="T19" s="124">
        <v>559.54789855760748</v>
      </c>
      <c r="U19" s="124">
        <v>455.30913615586525</v>
      </c>
      <c r="V19" s="124">
        <v>425.50339039501773</v>
      </c>
      <c r="W19" s="137">
        <v>399.47060283104662</v>
      </c>
    </row>
    <row r="20" spans="2:23" ht="18" customHeight="1" x14ac:dyDescent="0.3">
      <c r="B20" s="201" t="s">
        <v>287</v>
      </c>
      <c r="C20" s="202">
        <f>C19*(1+C18)/(Q9-C18)</f>
        <v>73684.405986990678</v>
      </c>
      <c r="D20"/>
      <c r="N20" s="136">
        <f>N19+0.5%</f>
        <v>5.5E-2</v>
      </c>
      <c r="O20" s="124">
        <v>1230.54313862139</v>
      </c>
      <c r="P20" s="124">
        <v>1026.094003771296</v>
      </c>
      <c r="Q20" s="124">
        <v>880.19374945680943</v>
      </c>
      <c r="R20" s="124">
        <v>770.88206809262454</v>
      </c>
      <c r="S20" s="124">
        <v>685.95896500301251</v>
      </c>
      <c r="T20" s="124">
        <v>596.90301834916784</v>
      </c>
      <c r="U20" s="124">
        <v>477.54094127627138</v>
      </c>
      <c r="V20" s="124">
        <v>444.17945302475169</v>
      </c>
      <c r="W20" s="137">
        <v>415.31267281242788</v>
      </c>
    </row>
    <row r="21" spans="2:23" ht="18" customHeight="1" x14ac:dyDescent="0.3">
      <c r="B21" s="68" t="s">
        <v>288</v>
      </c>
      <c r="C21" s="71">
        <f>C20/(1+Q9)^J13</f>
        <v>32720.684703736355</v>
      </c>
      <c r="N21" s="136">
        <f t="shared" ref="N21:N27" si="11">N20+0.5%</f>
        <v>0.06</v>
      </c>
      <c r="O21" s="124">
        <v>1491.5043678824204</v>
      </c>
      <c r="P21" s="124">
        <v>1194.5330802173003</v>
      </c>
      <c r="Q21" s="124">
        <v>996.69685374858238</v>
      </c>
      <c r="R21" s="124">
        <v>855.50448250461034</v>
      </c>
      <c r="S21" s="124">
        <v>749.71054916033802</v>
      </c>
      <c r="T21" s="200">
        <v>642.24000134405298</v>
      </c>
      <c r="U21" s="124">
        <v>503.47804725007865</v>
      </c>
      <c r="V21" s="124">
        <v>465.72875605906017</v>
      </c>
      <c r="W21" s="137">
        <v>433.41789564829219</v>
      </c>
    </row>
    <row r="22" spans="2:23" ht="18" customHeight="1" x14ac:dyDescent="0.3">
      <c r="B22" s="68" t="s">
        <v>290</v>
      </c>
      <c r="C22" s="71">
        <f>SUM(C15:J15)</f>
        <v>11268.852994030058</v>
      </c>
      <c r="N22" s="136">
        <f t="shared" si="11"/>
        <v>6.5000000000000002E-2</v>
      </c>
      <c r="O22" s="124">
        <v>1926.4397499841382</v>
      </c>
      <c r="P22" s="124">
        <v>1447.191694886307</v>
      </c>
      <c r="Q22" s="124">
        <v>1159.8011997570648</v>
      </c>
      <c r="R22" s="124">
        <v>968.334368387258</v>
      </c>
      <c r="S22" s="124">
        <v>831.67687164832819</v>
      </c>
      <c r="T22" s="124">
        <v>698.42315251953289</v>
      </c>
      <c r="U22" s="124">
        <v>534.13099067366898</v>
      </c>
      <c r="V22" s="124">
        <v>490.86960959908674</v>
      </c>
      <c r="W22" s="137">
        <v>454.30853738198164</v>
      </c>
    </row>
    <row r="23" spans="2:23" ht="18" customHeight="1" x14ac:dyDescent="0.3">
      <c r="B23" s="201" t="s">
        <v>289</v>
      </c>
      <c r="C23" s="202">
        <f>C21+C22</f>
        <v>43989.537697766413</v>
      </c>
      <c r="N23" s="136">
        <f t="shared" si="11"/>
        <v>7.0000000000000007E-2</v>
      </c>
      <c r="O23" s="124">
        <v>2796.3105141875753</v>
      </c>
      <c r="P23" s="124">
        <v>1868.2893860013185</v>
      </c>
      <c r="Q23" s="124">
        <v>1404.457718769788</v>
      </c>
      <c r="R23" s="124">
        <v>1126.296208622965</v>
      </c>
      <c r="S23" s="124">
        <v>940.965301632315</v>
      </c>
      <c r="T23" s="124">
        <v>769.87346434052347</v>
      </c>
      <c r="U23" s="124">
        <v>570.91452278197733</v>
      </c>
      <c r="V23" s="124">
        <v>520.58152741911817</v>
      </c>
      <c r="W23" s="137">
        <v>478.68095273795291</v>
      </c>
    </row>
    <row r="24" spans="2:23" ht="18" customHeight="1" x14ac:dyDescent="0.3">
      <c r="B24" s="68" t="s">
        <v>291</v>
      </c>
      <c r="C24" s="70">
        <f>BS!L43</f>
        <v>3134</v>
      </c>
      <c r="N24" s="136">
        <f t="shared" si="11"/>
        <v>7.5000000000000011E-2</v>
      </c>
      <c r="O24" s="124">
        <v>5405.9228067978911</v>
      </c>
      <c r="P24" s="124">
        <v>2710.4847682313421</v>
      </c>
      <c r="Q24" s="124">
        <v>1812.218583790994</v>
      </c>
      <c r="R24" s="124">
        <v>1363.2389689765253</v>
      </c>
      <c r="S24" s="124">
        <v>1093.9691036098966</v>
      </c>
      <c r="T24" s="124">
        <v>863.79242767754897</v>
      </c>
      <c r="U24" s="124">
        <v>615.87217313657663</v>
      </c>
      <c r="V24" s="124">
        <v>556.23582880315575</v>
      </c>
      <c r="W24" s="137">
        <v>507.4847163404641</v>
      </c>
    </row>
    <row r="25" spans="2:23" ht="18" customHeight="1" x14ac:dyDescent="0.3">
      <c r="B25" s="68" t="s">
        <v>268</v>
      </c>
      <c r="C25" s="70">
        <f>-BS!L15</f>
        <v>-407</v>
      </c>
      <c r="N25" s="136">
        <f t="shared" si="11"/>
        <v>8.0000000000000016E-2</v>
      </c>
      <c r="O25" s="124" t="str">
        <v/>
      </c>
      <c r="P25" s="124">
        <v>5237.0709149214172</v>
      </c>
      <c r="Q25" s="124">
        <v>2627.7403138334066</v>
      </c>
      <c r="R25" s="124">
        <v>1758.1435695657929</v>
      </c>
      <c r="S25" s="124">
        <v>1323.4748065762692</v>
      </c>
      <c r="T25" s="124">
        <v>992.75578031943485</v>
      </c>
      <c r="U25" s="124">
        <v>672.06923607982571</v>
      </c>
      <c r="V25" s="124">
        <v>599.81330827253532</v>
      </c>
      <c r="W25" s="137">
        <v>542.04923266347794</v>
      </c>
    </row>
    <row r="26" spans="2:23" ht="18" customHeight="1" x14ac:dyDescent="0.3">
      <c r="B26" s="201" t="s">
        <v>280</v>
      </c>
      <c r="C26" s="202">
        <f>SUM(C23:C25)</f>
        <v>46716.537697766413</v>
      </c>
      <c r="N26" s="136">
        <f t="shared" si="11"/>
        <v>8.500000000000002E-2</v>
      </c>
      <c r="O26" s="124" t="str">
        <v/>
      </c>
      <c r="P26" s="124" t="str">
        <v/>
      </c>
      <c r="Q26" s="124">
        <v>5074.3055039606479</v>
      </c>
      <c r="R26" s="124">
        <v>2547.9527707443285</v>
      </c>
      <c r="S26" s="124">
        <v>1705.9843115202236</v>
      </c>
      <c r="T26" s="124">
        <v>1180.8766341731948</v>
      </c>
      <c r="U26" s="124">
        <v>744.32260272114581</v>
      </c>
      <c r="V26" s="124">
        <v>654.28515760925939</v>
      </c>
      <c r="W26" s="137">
        <v>584.29475261382777</v>
      </c>
    </row>
    <row r="27" spans="2:23" ht="18" customHeight="1" x14ac:dyDescent="0.3">
      <c r="B27" s="68" t="s">
        <v>292</v>
      </c>
      <c r="C27" s="71">
        <v>72.739999999999995</v>
      </c>
      <c r="N27" s="138">
        <f t="shared" si="11"/>
        <v>9.0000000000000024E-2</v>
      </c>
      <c r="O27" s="139" t="str">
        <v/>
      </c>
      <c r="P27" s="139" t="str">
        <v/>
      </c>
      <c r="Q27" s="139" t="str">
        <v/>
      </c>
      <c r="R27" s="139">
        <v>4917.38037427994</v>
      </c>
      <c r="S27" s="139">
        <v>2471.0033214081327</v>
      </c>
      <c r="T27" s="139">
        <v>1480.9741867494315</v>
      </c>
      <c r="U27" s="139">
        <v>840.66042490957284</v>
      </c>
      <c r="V27" s="139">
        <v>724.32039247076216</v>
      </c>
      <c r="W27" s="140">
        <v>637.10165255176548</v>
      </c>
    </row>
    <row r="28" spans="2:23" ht="18" customHeight="1" x14ac:dyDescent="0.3">
      <c r="B28" s="203" t="s">
        <v>293</v>
      </c>
      <c r="C28" s="204">
        <f>C26/C27</f>
        <v>642.24000134405298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B37-B178-4122-9E60-31B689566C4F}">
  <dimension ref="B2:T50"/>
  <sheetViews>
    <sheetView showGridLines="0" topLeftCell="C18" zoomScale="95" workbookViewId="0">
      <selection activeCell="L34" sqref="L34"/>
    </sheetView>
  </sheetViews>
  <sheetFormatPr defaultRowHeight="14.4" x14ac:dyDescent="0.3"/>
  <cols>
    <col min="1" max="1" width="2.77734375" customWidth="1"/>
    <col min="2" max="2" width="50.77734375" customWidth="1"/>
    <col min="3" max="20" width="12.77734375" customWidth="1"/>
  </cols>
  <sheetData>
    <row r="2" spans="2:20" ht="21" x14ac:dyDescent="0.4">
      <c r="B2" s="45" t="s">
        <v>329</v>
      </c>
    </row>
    <row r="4" spans="2:20" x14ac:dyDescent="0.3">
      <c r="B4" s="1" t="s">
        <v>17</v>
      </c>
      <c r="C4" s="57">
        <v>2017</v>
      </c>
      <c r="D4" s="57">
        <f>C4+1</f>
        <v>2018</v>
      </c>
      <c r="E4" s="57">
        <f t="shared" ref="E4:T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si="0"/>
        <v>2031</v>
      </c>
      <c r="R4" s="58">
        <f t="shared" si="0"/>
        <v>2032</v>
      </c>
      <c r="S4" s="58">
        <f t="shared" si="0"/>
        <v>2033</v>
      </c>
      <c r="T4" s="58">
        <f t="shared" si="0"/>
        <v>2034</v>
      </c>
    </row>
    <row r="6" spans="2:20" x14ac:dyDescent="0.3">
      <c r="B6" s="1" t="s">
        <v>330</v>
      </c>
    </row>
    <row r="7" spans="2:20" x14ac:dyDescent="0.3">
      <c r="B7" s="2" t="s">
        <v>331</v>
      </c>
      <c r="C7" s="12">
        <f>PL!C7/PL!C5</f>
        <v>0.41578678763821941</v>
      </c>
      <c r="D7" s="12">
        <f>PL!D7/PL!D5</f>
        <v>0.4695015482038507</v>
      </c>
      <c r="E7" s="12">
        <f>PL!E7/PL!E5</f>
        <v>0.46831106543336759</v>
      </c>
      <c r="F7" s="12">
        <f>PL!F7/PL!F5</f>
        <v>0.42415338752225101</v>
      </c>
      <c r="G7" s="12">
        <f>PL!G7/PL!G5</f>
        <v>0.40876612595771894</v>
      </c>
      <c r="H7" s="12">
        <f>PL!H7/PL!H5</f>
        <v>0.41508792883324414</v>
      </c>
      <c r="I7" s="12">
        <f>PL!I7/PL!I5</f>
        <v>0.38720316622691292</v>
      </c>
      <c r="J7" s="12">
        <f>PL!J7/PL!J5</f>
        <v>0.42213585372316931</v>
      </c>
      <c r="K7" s="12">
        <f>PL!K7/PL!K5</f>
        <v>0.43160162399536001</v>
      </c>
      <c r="L7" s="12">
        <f>PL!L7/PL!L5</f>
        <v>0.46466672014117272</v>
      </c>
      <c r="M7" s="12">
        <f>PL!M7/PL!M5</f>
        <v>0.45500000000000007</v>
      </c>
      <c r="N7" s="12">
        <f>PL!N7/PL!N5</f>
        <v>0.45999999999999996</v>
      </c>
      <c r="O7" s="12">
        <f>PL!O7/PL!O5</f>
        <v>0.46500000000000008</v>
      </c>
      <c r="P7" s="12">
        <f>PL!P7/PL!P5</f>
        <v>0.47</v>
      </c>
      <c r="Q7" s="12">
        <f>PL!Q7/PL!Q5</f>
        <v>0.47</v>
      </c>
      <c r="R7" s="12">
        <f>PL!R7/PL!R5</f>
        <v>0.46999999999999992</v>
      </c>
      <c r="S7" s="12">
        <f>PL!S7/PL!S5</f>
        <v>0.47000000000000003</v>
      </c>
      <c r="T7" s="12">
        <f>PL!T7/PL!T5</f>
        <v>0.47</v>
      </c>
    </row>
    <row r="8" spans="2:20" x14ac:dyDescent="0.3">
      <c r="B8" s="2" t="s">
        <v>332</v>
      </c>
      <c r="C8" s="12">
        <f>PL!C12/PL!C5</f>
        <v>0.11243549759001981</v>
      </c>
      <c r="D8" s="12">
        <f>PL!D12/PL!D5</f>
        <v>0.14075850348054847</v>
      </c>
      <c r="E8" s="12">
        <f>PL!E12/PL!E5</f>
        <v>0.14921634121274402</v>
      </c>
      <c r="F8" s="12">
        <f>PL!F12/PL!F5</f>
        <v>0.16846462350140473</v>
      </c>
      <c r="G8" s="12">
        <f>PL!G12/PL!G5</f>
        <v>0.1293028175076556</v>
      </c>
      <c r="H8" s="12">
        <f>PL!H12/PL!H5</f>
        <v>0.16424364729623986</v>
      </c>
      <c r="I8" s="12">
        <f>PL!I12/PL!I5</f>
        <v>0.13352808141726347</v>
      </c>
      <c r="J8" s="12">
        <f>PL!J12/PL!J5</f>
        <v>0.17666283897182228</v>
      </c>
      <c r="K8" s="12">
        <f>PL!K12/PL!K5</f>
        <v>0.18526804209130832</v>
      </c>
      <c r="L8" s="12">
        <f>PL!L12/PL!L5</f>
        <v>0.18280259886099301</v>
      </c>
      <c r="M8" s="12">
        <f>PL!M12/PL!M5</f>
        <v>0.18745445045494097</v>
      </c>
      <c r="N8" s="12">
        <f>PL!N12/PL!N5</f>
        <v>0.19245445045494086</v>
      </c>
      <c r="O8" s="12">
        <f>PL!O12/PL!O5</f>
        <v>0.19745445045494098</v>
      </c>
      <c r="P8" s="12">
        <f>PL!P12/PL!P5</f>
        <v>0.20245445045494084</v>
      </c>
      <c r="Q8" s="12">
        <f>PL!Q12/PL!Q5</f>
        <v>0.20245445045494082</v>
      </c>
      <c r="R8" s="12">
        <f>PL!R12/PL!R5</f>
        <v>0.20245445045494079</v>
      </c>
      <c r="S8" s="12">
        <f>PL!S12/PL!S5</f>
        <v>0.20245445045494087</v>
      </c>
      <c r="T8" s="12">
        <f>PL!T12/PL!T5</f>
        <v>0.20245445045494084</v>
      </c>
    </row>
    <row r="9" spans="2:20" x14ac:dyDescent="0.3">
      <c r="B9" s="2" t="s">
        <v>333</v>
      </c>
      <c r="C9" s="12">
        <f>PL!C14/PL!C5</f>
        <v>9.1046214913524201E-2</v>
      </c>
      <c r="D9" s="12">
        <f>PL!D14/PL!D5</f>
        <v>0.11837357111261144</v>
      </c>
      <c r="E9" s="12">
        <f>PL!E14/PL!E5</f>
        <v>0.12623115793079814</v>
      </c>
      <c r="F9" s="12">
        <f>PL!F14/PL!F5</f>
        <v>0.13787076157591091</v>
      </c>
      <c r="G9" s="12">
        <f>PL!G14/PL!G5</f>
        <v>9.2519031397193571E-2</v>
      </c>
      <c r="H9" s="12">
        <f>PL!H14/PL!H5</f>
        <v>0.13296404596186318</v>
      </c>
      <c r="I9" s="12">
        <f>PL!I14/PL!I5</f>
        <v>0.10686015831134564</v>
      </c>
      <c r="J9" s="12">
        <f>PL!J14/PL!J5</f>
        <v>0.15237169861319672</v>
      </c>
      <c r="K9" s="12">
        <f>PL!K14/PL!K5</f>
        <v>0.16181953765846382</v>
      </c>
      <c r="L9" s="12">
        <f>PL!L14/PL!L5</f>
        <v>0.15962140049731291</v>
      </c>
      <c r="M9" s="12">
        <f>PL!M14/PL!M5</f>
        <v>0.1597105349399999</v>
      </c>
      <c r="N9" s="12">
        <f>PL!N14/PL!N5</f>
        <v>0.16429096568301943</v>
      </c>
      <c r="O9" s="12">
        <f>PL!O14/PL!O5</f>
        <v>0.16880258040574658</v>
      </c>
      <c r="P9" s="12">
        <f>PL!P14/PL!P5</f>
        <v>0.1732326400793992</v>
      </c>
      <c r="Q9" s="12">
        <f>PL!Q14/PL!Q5</f>
        <v>0.17269251785990403</v>
      </c>
      <c r="R9" s="12">
        <f>PL!R14/PL!R5</f>
        <v>0.17227843725170955</v>
      </c>
      <c r="S9" s="12">
        <f>PL!S14/PL!S5</f>
        <v>0.17195080614898359</v>
      </c>
      <c r="T9" s="12">
        <f>PL!T14/PL!T5</f>
        <v>0.17168338153239568</v>
      </c>
    </row>
    <row r="10" spans="2:20" x14ac:dyDescent="0.3">
      <c r="B10" s="2" t="s">
        <v>334</v>
      </c>
      <c r="C10" s="12">
        <f>PL!C22/PL!C5</f>
        <v>1.0547207258293168E-2</v>
      </c>
      <c r="D10" s="12">
        <f>PL!D22/PL!D5</f>
        <v>7.5885269946220288E-2</v>
      </c>
      <c r="E10" s="12">
        <f>PL!E22/PL!E5</f>
        <v>7.3184309695101077E-2</v>
      </c>
      <c r="F10" s="12">
        <f>PL!F22/PL!F5</f>
        <v>6.6549424153387521E-2</v>
      </c>
      <c r="G10" s="12">
        <f>PL!G22/PL!G5</f>
        <v>4.4531624709456069E-2</v>
      </c>
      <c r="H10" s="12">
        <f>PL!H22/PL!H5</f>
        <v>8.3460318767760805E-2</v>
      </c>
      <c r="I10" s="12">
        <f>PL!I22/PL!I5</f>
        <v>0.10608744817188089</v>
      </c>
      <c r="J10" s="12">
        <f>PL!J22/PL!J5</f>
        <v>0.12437063863616288</v>
      </c>
      <c r="K10" s="12">
        <f>PL!K22/PL!K5</f>
        <v>0.13107962548678431</v>
      </c>
      <c r="L10" s="12">
        <f>PL!L22/PL!L5</f>
        <v>0.14742921312264379</v>
      </c>
      <c r="M10" s="12">
        <f>PL!M22/PL!M5</f>
        <v>0.12573656329217611</v>
      </c>
      <c r="N10" s="12">
        <f>PL!N22/PL!N5</f>
        <v>0.12768332119622677</v>
      </c>
      <c r="O10" s="12">
        <f>PL!O22/PL!O5</f>
        <v>0.13243928587287365</v>
      </c>
      <c r="P10" s="12">
        <f>PL!P22/PL!P5</f>
        <v>0.13540233225084436</v>
      </c>
      <c r="Q10" s="12">
        <f>PL!Q22/PL!Q5</f>
        <v>0.13654848092581165</v>
      </c>
      <c r="R10" s="12">
        <f>PL!R22/PL!R5</f>
        <v>0.13604215184807381</v>
      </c>
      <c r="S10" s="12">
        <f>PL!S22/PL!S5</f>
        <v>0.13718163268488584</v>
      </c>
      <c r="T10" s="12">
        <f>PL!T22/PL!T5</f>
        <v>0.13685649547320994</v>
      </c>
    </row>
    <row r="11" spans="2:20" x14ac:dyDescent="0.3">
      <c r="B11" s="2" t="s">
        <v>335</v>
      </c>
      <c r="C11" s="12">
        <f>PL!C22/(AVERAGE(BS!C10,1634))</f>
        <v>5.4392326587905021E-2</v>
      </c>
      <c r="D11" s="12">
        <f>PL!D22/AVERAGE(BS!C10,BS!D10)</f>
        <v>0.31008157537993192</v>
      </c>
      <c r="E11" s="12">
        <f>PL!E22/AVERAGE(BS!D10,BS!E10)</f>
        <v>0.24815769412277197</v>
      </c>
      <c r="F11" s="12">
        <f>PL!F22/AVERAGE(BS!E10,BS!F10)</f>
        <v>0.18203951131513721</v>
      </c>
      <c r="G11" s="12">
        <f>PL!G22/AVERAGE(BS!F10,BS!G10)</f>
        <v>9.2280639160019398E-2</v>
      </c>
      <c r="H11" s="12">
        <f>PL!H22/AVERAGE(BS!G10,BS!H10)</f>
        <v>0.17867416101835015</v>
      </c>
      <c r="I11" s="12">
        <f>PL!I22/AVERAGE(BS!H10,BS!I10)</f>
        <v>0.20556549684110578</v>
      </c>
      <c r="J11" s="12">
        <f>PL!J22/AVERAGE(BS!I10,BS!J10)</f>
        <v>0.21462596699820891</v>
      </c>
      <c r="K11" s="12">
        <f>PL!K22/AVERAGE(BS!J10,BS!K10)</f>
        <v>0.20781609195402298</v>
      </c>
      <c r="L11" s="12">
        <f>PL!L22/AVERAGE(BS!K10,BS!L10)</f>
        <v>0.21551269273612006</v>
      </c>
      <c r="M11" s="12">
        <f>PL!M22/AVERAGE(BS!L10,BS!M10)</f>
        <v>0.18501914014845805</v>
      </c>
      <c r="N11" s="12">
        <f>PL!N22/AVERAGE(BS!M10,BS!N10)</f>
        <v>0.1924172061927073</v>
      </c>
      <c r="O11" s="12">
        <f>PL!O22/AVERAGE(BS!N10,BS!O10)</f>
        <v>0.20195648232365937</v>
      </c>
      <c r="P11" s="12">
        <f>PL!P22/AVERAGE(BS!O10,BS!P10)</f>
        <v>0.20651807087614091</v>
      </c>
      <c r="Q11" s="12">
        <f>PL!Q22/AVERAGE(BS!P10,BS!Q10)</f>
        <v>0.20716267991941292</v>
      </c>
      <c r="R11" s="12">
        <f>PL!R22/AVERAGE(BS!Q10,BS!R10)</f>
        <v>0.20534359054014023</v>
      </c>
      <c r="S11" s="12">
        <f>PL!S22/AVERAGE(BS!R10,BS!S10)</f>
        <v>0.20604435508318109</v>
      </c>
      <c r="T11" s="12">
        <f>PL!T22/AVERAGE(BS!S10,BS!T10)</f>
        <v>0.20457277857218314</v>
      </c>
    </row>
    <row r="12" spans="2:20" x14ac:dyDescent="0.3">
      <c r="B12" s="2" t="s">
        <v>353</v>
      </c>
      <c r="C12" s="12">
        <f>PL!C14/(BS!C46-BS!C23)</f>
        <v>0.30080935251798546</v>
      </c>
      <c r="D12" s="12">
        <f>PL!D14/(BS!D46-BS!D23)</f>
        <v>0.31888739063626947</v>
      </c>
      <c r="E12" s="12">
        <f>PL!E14/(BS!E46-BS!E23)</f>
        <v>0.30275252914291567</v>
      </c>
      <c r="F12" s="12">
        <f>PL!F14/(BS!F46-BS!F23)</f>
        <v>0.32575757575757569</v>
      </c>
      <c r="G12" s="12">
        <f>PL!G14/(BS!G46-BS!G23)</f>
        <v>0.17471376483429715</v>
      </c>
      <c r="H12" s="12">
        <f>PL!H14/(BS!H46-BS!H23)</f>
        <v>0.24519632414369258</v>
      </c>
      <c r="I12" s="12">
        <f>PL!I14/(BS!I46-BS!I23)</f>
        <v>0.18210139225667624</v>
      </c>
      <c r="J12" s="12">
        <f>PL!J14/(BS!J46-BS!J23)</f>
        <v>0.23202948455826969</v>
      </c>
      <c r="K12" s="12">
        <f>PL!K14/(BS!K46-BS!K23)</f>
        <v>0.22562384473197783</v>
      </c>
      <c r="L12" s="12">
        <f>PL!L14/(BS!L46-BS!L23)</f>
        <v>0.21219876306248667</v>
      </c>
      <c r="M12" s="12">
        <f>PL!M14/(BS!M46-BS!M23)</f>
        <v>0.2151436871974769</v>
      </c>
      <c r="N12" s="12">
        <f>PL!N14/(BS!N46-BS!N23)</f>
        <v>0.22381314467122296</v>
      </c>
      <c r="O12" s="12">
        <f>PL!O14/(BS!O46-BS!O23)</f>
        <v>0.22986438118831939</v>
      </c>
      <c r="P12" s="12">
        <f>PL!P14/(BS!P46-BS!P23)</f>
        <v>0.23347644329230557</v>
      </c>
      <c r="Q12" s="12">
        <f>PL!Q14/(BS!Q46-BS!Q23)</f>
        <v>0.22944057991523414</v>
      </c>
      <c r="R12" s="12">
        <f>PL!R14/(BS!R46-BS!R23)</f>
        <v>0.22594103060426532</v>
      </c>
      <c r="S12" s="12">
        <f>PL!S14/(BS!S46-BS!S23)</f>
        <v>0.22272201869164765</v>
      </c>
      <c r="T12" s="12">
        <f>PL!T14/(BS!T46-BS!T23)</f>
        <v>0.21986760094498176</v>
      </c>
    </row>
    <row r="13" spans="2:20" x14ac:dyDescent="0.3">
      <c r="B13" s="1" t="s">
        <v>336</v>
      </c>
    </row>
    <row r="14" spans="2:20" x14ac:dyDescent="0.3">
      <c r="B14" s="2" t="s">
        <v>337</v>
      </c>
      <c r="C14" s="4">
        <f>BS!C44/BS!C23</f>
        <v>0.92323874676815842</v>
      </c>
      <c r="D14" s="4">
        <f>BS!D44/BS!D23</f>
        <v>0.99459028331657262</v>
      </c>
      <c r="E14" s="4">
        <f>BS!E44/BS!E23</f>
        <v>1.0094931246763705</v>
      </c>
      <c r="F14" s="4">
        <f>BS!F44/BS!F23</f>
        <v>0.99302681211132637</v>
      </c>
      <c r="G14" s="4">
        <f>BS!G44/BS!G23</f>
        <v>1.1351657961286663</v>
      </c>
      <c r="H14" s="4">
        <f>BS!H44/BS!H23</f>
        <v>1.4167649883385924</v>
      </c>
      <c r="I14" s="4">
        <f>BS!I44/BS!I23</f>
        <v>1.7640767358949694</v>
      </c>
      <c r="J14" s="4">
        <f>BS!J44/BS!J23</f>
        <v>1.9338855974414093</v>
      </c>
      <c r="K14" s="4">
        <f>BS!K44/BS!K23</f>
        <v>2.0039198606271778</v>
      </c>
      <c r="L14" s="4">
        <f>BS!L44/BS!L23</f>
        <v>2.0748379493223337</v>
      </c>
      <c r="M14" s="4">
        <f>BS!M44/BS!M23</f>
        <v>2.3118499244535795</v>
      </c>
      <c r="N14" s="4">
        <f>BS!N44/BS!N23</f>
        <v>2.1671598142749766</v>
      </c>
      <c r="O14" s="4">
        <f>BS!O44/BS!O23</f>
        <v>2.373107727976707</v>
      </c>
      <c r="P14" s="4">
        <f>BS!P44/BS!P23</f>
        <v>2.2701117386529046</v>
      </c>
      <c r="Q14" s="4">
        <f>BS!Q44/BS!Q23</f>
        <v>2.4730448199423503</v>
      </c>
      <c r="R14" s="4">
        <f>BS!R44/BS!R23</f>
        <v>2.3776185143556194</v>
      </c>
      <c r="S14" s="4">
        <f>BS!S44/BS!S23</f>
        <v>2.5686737090398286</v>
      </c>
      <c r="T14" s="4">
        <f>BS!T44/BS!T23</f>
        <v>2.4776957226645391</v>
      </c>
    </row>
    <row r="15" spans="2:20" x14ac:dyDescent="0.3">
      <c r="B15" s="2" t="s">
        <v>338</v>
      </c>
      <c r="C15" s="4">
        <f>(BS!C44-BS!C41)/BS!C23</f>
        <v>0.61368855486502538</v>
      </c>
      <c r="D15" s="4">
        <f>(BS!D44-BS!D41)/BS!D23</f>
        <v>0.66173665776606461</v>
      </c>
      <c r="E15" s="4">
        <f>(BS!E44-BS!E41)/BS!E23</f>
        <v>0.63853249717124039</v>
      </c>
      <c r="F15" s="4">
        <f>(BS!F44-BS!F41)/BS!F23</f>
        <v>0.60002038943827096</v>
      </c>
      <c r="G15" s="4">
        <f>(BS!G44-BS!G41)/BS!G23</f>
        <v>0.65020916546524532</v>
      </c>
      <c r="H15" s="4">
        <f>(BS!H44-BS!H41)/BS!H23</f>
        <v>0.82499657017423522</v>
      </c>
      <c r="I15" s="4">
        <f>(BS!I44-BS!I41)/BS!I23</f>
        <v>1.1330994284420803</v>
      </c>
      <c r="J15" s="4">
        <f>(BS!J44-BS!J41)/BS!J23</f>
        <v>1.3930687359094007</v>
      </c>
      <c r="K15" s="4">
        <f>(BS!K44-BS!K41)/BS!K23</f>
        <v>1.5019599303135889</v>
      </c>
      <c r="L15" s="4">
        <f>(BS!L44-BS!L41)/BS!L23</f>
        <v>1.5507758790021606</v>
      </c>
      <c r="M15" s="4">
        <f>(BS!M44-BS!M41)/BS!M23</f>
        <v>1.7029498740762221</v>
      </c>
      <c r="N15" s="4">
        <f>(BS!N44-BS!N41)/BS!N23</f>
        <v>1.6267775311999795</v>
      </c>
      <c r="O15" s="4">
        <f>(BS!O44-BS!O41)/BS!O23</f>
        <v>1.7788075444969191</v>
      </c>
      <c r="P15" s="4">
        <f>(BS!P44-BS!P41)/BS!P23</f>
        <v>1.7346978434339291</v>
      </c>
      <c r="Q15" s="4">
        <f>(BS!Q44-BS!Q41)/BS!Q23</f>
        <v>1.8842382510108204</v>
      </c>
      <c r="R15" s="4">
        <f>(BS!R44-BS!R41)/BS!R23</f>
        <v>1.8392070741193138</v>
      </c>
      <c r="S15" s="4">
        <f>(BS!S44-BS!S41)/BS!S23</f>
        <v>1.9831889038096493</v>
      </c>
      <c r="T15" s="4">
        <f>(BS!T44-BS!T41)/BS!T23</f>
        <v>1.9366091714825766</v>
      </c>
    </row>
    <row r="16" spans="2:20" x14ac:dyDescent="0.3">
      <c r="B16" s="1" t="s">
        <v>339</v>
      </c>
    </row>
    <row r="17" spans="2:20" x14ac:dyDescent="0.3">
      <c r="B17" s="2" t="s">
        <v>340</v>
      </c>
      <c r="C17" s="4">
        <f>(BS!C16+BS!C20)/BS!C10</f>
        <v>2.1225918458781363</v>
      </c>
      <c r="D17" s="4">
        <f>(BS!D16+BS!D20)/BS!D10</f>
        <v>1.2695217229548179</v>
      </c>
      <c r="E17" s="4">
        <f>(BS!E16+BS!E20)/BS!E10</f>
        <v>0.93638158107627079</v>
      </c>
      <c r="F17" s="4">
        <f>(BS!F16+BS!F20)/BS!F10</f>
        <v>0.4894849785407725</v>
      </c>
      <c r="G17" s="4">
        <f>(BS!G16+BS!G20)/BS!G10</f>
        <v>0.25743968153793872</v>
      </c>
      <c r="H17" s="4">
        <f>(BS!H16+BS!H20)/BS!H10</f>
        <v>0.13200234168399377</v>
      </c>
      <c r="I17" s="4">
        <f>(BS!I16+BS!I20)/BS!I10</f>
        <v>3.8103175264605389E-2</v>
      </c>
      <c r="J17" s="4">
        <f>(BS!J16+BS!J20)/BS!J10</f>
        <v>4.7521415531526466E-2</v>
      </c>
      <c r="K17" s="4">
        <f>(BS!K16+BS!K20)/BS!K10</f>
        <v>6.8114511352418555E-2</v>
      </c>
      <c r="L17" s="4">
        <f>(BS!L16+BS!L20)/BS!L10</f>
        <v>4.8140288171562608E-2</v>
      </c>
      <c r="M17" s="4">
        <f>(BS!M16+BS!M20)/BS!M10</f>
        <v>6.0616551553698605E-2</v>
      </c>
      <c r="N17" s="4">
        <f>(BS!N16+BS!N20)/BS!N10</f>
        <v>7.2762121192000512E-2</v>
      </c>
      <c r="O17" s="4">
        <f>(BS!O16+BS!O20)/BS!O10</f>
        <v>8.4261671221142503E-2</v>
      </c>
      <c r="P17" s="4">
        <f>(BS!P16+BS!P20)/BS!P10</f>
        <v>9.4892438458849857E-2</v>
      </c>
      <c r="Q17" s="4">
        <f>(BS!Q16+BS!Q20)/BS!Q10</f>
        <v>0.10464034996731765</v>
      </c>
      <c r="R17" s="4">
        <f>(BS!R16+BS!R20)/BS!R10</f>
        <v>0.1136497471139549</v>
      </c>
      <c r="S17" s="4">
        <f>(BS!S16+BS!S20)/BS!S10</f>
        <v>0.12188827959968983</v>
      </c>
      <c r="T17" s="4">
        <f>(BS!T16+BS!T20)/BS!T10</f>
        <v>0.129493027441065</v>
      </c>
    </row>
    <row r="18" spans="2:20" x14ac:dyDescent="0.3">
      <c r="B18" s="2" t="s">
        <v>341</v>
      </c>
      <c r="C18" s="4">
        <f>(BS!C13+BS!C15-BS!C43)/PL!C12</f>
        <v>0.80280411539237484</v>
      </c>
      <c r="D18" s="4">
        <f>(BS!D13+BS!D15-BS!D43)/PL!D12</f>
        <v>0.42482633145881576</v>
      </c>
      <c r="E18" s="4">
        <f>(BS!E13+BS!E15-BS!E43)/PL!E12</f>
        <v>0.37408523461041776</v>
      </c>
      <c r="F18" s="4">
        <f>(BS!F13+BS!F15-BS!F43)/PL!F12</f>
        <v>8.7651177593889254E-2</v>
      </c>
      <c r="G18" s="4">
        <f>(BS!G13+BS!G15-BS!G43)/PL!G12</f>
        <v>7.2379684230549732E-2</v>
      </c>
      <c r="H18" s="4">
        <f>(BS!H13+BS!H15-BS!H43)/PL!H12</f>
        <v>-1.1033099297893697E-2</v>
      </c>
      <c r="I18" s="4">
        <f>(BS!I13+BS!I15-BS!I43)/PL!I12</f>
        <v>-0.67494707127734643</v>
      </c>
      <c r="J18" s="4">
        <f>(BS!J13+BS!J15-BS!J43)/PL!J12</f>
        <v>-0.81379999999999997</v>
      </c>
      <c r="K18" s="4">
        <f>(BS!K13+BS!K15-BS!K43)/PL!K12</f>
        <v>-1.0836314847942754</v>
      </c>
      <c r="L18" s="4">
        <f>(BS!L13+BS!L15-BS!L43)/PL!L12</f>
        <v>-1.1965774462483545</v>
      </c>
      <c r="M18" s="4">
        <f>(BS!M13+BS!M15-BS!M43)/PL!M12</f>
        <v>-0.97286393643893121</v>
      </c>
      <c r="N18" s="4">
        <f>(BS!N13+BS!N15-BS!N43)/PL!N12</f>
        <v>-1.0860939807496646</v>
      </c>
      <c r="O18" s="4">
        <f>(BS!O13+BS!O15-BS!O43)/PL!O12</f>
        <v>-1.0023074744808729</v>
      </c>
      <c r="P18" s="4">
        <f>(BS!P13+BS!P15-BS!P43)/PL!P12</f>
        <v>-1.1358682033994261</v>
      </c>
      <c r="Q18" s="4">
        <f>(BS!Q13+BS!Q15-BS!Q43)/PL!Q12</f>
        <v>-1.1104218391933074</v>
      </c>
      <c r="R18" s="4">
        <f>(BS!R13+BS!R15-BS!R43)/PL!R12</f>
        <v>-1.2557456865567111</v>
      </c>
      <c r="S18" s="4">
        <f>(BS!S13+BS!S15-BS!S43)/PL!S12</f>
        <v>-1.2383171717065218</v>
      </c>
      <c r="T18" s="4">
        <f>(BS!T13+BS!T15-BS!T43)/PL!T12</f>
        <v>-1.3708794637496839</v>
      </c>
    </row>
    <row r="19" spans="2:20" x14ac:dyDescent="0.3">
      <c r="B19" s="2" t="s">
        <v>342</v>
      </c>
      <c r="C19" s="4">
        <f>PL!C14/-PL!C17</f>
        <v>2.1402292721940803</v>
      </c>
      <c r="D19" s="4">
        <f>PL!D14/-PL!D17</f>
        <v>3.6645045045045039</v>
      </c>
      <c r="E19" s="4">
        <f>PL!E14/-PL!E17</f>
        <v>4.9709106239460343</v>
      </c>
      <c r="F19" s="4">
        <f>PL!F14/-PL!F17</f>
        <v>6.0646226415094322</v>
      </c>
      <c r="G19" s="4">
        <f>PL!G14/-PL!G17</f>
        <v>4.0101279317697234</v>
      </c>
      <c r="H19" s="4">
        <f>PL!H14/-PL!H17</f>
        <v>14.674999999999999</v>
      </c>
      <c r="I19" s="4">
        <f>PL!I14/-PL!I17</f>
        <v>10.903846153846153</v>
      </c>
      <c r="J19" s="4">
        <f>PL!J14/-PL!J17</f>
        <v>22.69736842105263</v>
      </c>
      <c r="K19" s="4">
        <f>PL!K14/-PL!K17</f>
        <v>21.943820224719101</v>
      </c>
      <c r="L19" s="4">
        <f>PL!L14/-PL!L17</f>
        <v>12.594936708860759</v>
      </c>
      <c r="M19" s="4">
        <f>PL!M14/-PL!M17</f>
        <v>22.645778582190221</v>
      </c>
      <c r="N19" s="4">
        <f>PL!N14/-PL!N17</f>
        <v>22.3589520627994</v>
      </c>
      <c r="O19" s="4">
        <f>PL!O14/-PL!O17</f>
        <v>21.929067689666194</v>
      </c>
      <c r="P19" s="4">
        <f>PL!P14/-PL!P17</f>
        <v>21.396686403839301</v>
      </c>
      <c r="Q19" s="4">
        <f>PL!Q14/-PL!Q17</f>
        <v>20.30695966494039</v>
      </c>
      <c r="R19" s="4">
        <f>PL!R14/-PL!R17</f>
        <v>19.394602462172962</v>
      </c>
      <c r="S19" s="4">
        <f>PL!S14/-PL!S17</f>
        <v>18.621301686123527</v>
      </c>
      <c r="T19" s="4">
        <f>PL!T14/-PL!T17</f>
        <v>17.959220944497556</v>
      </c>
    </row>
    <row r="20" spans="2:20" x14ac:dyDescent="0.3">
      <c r="B20" s="1" t="s">
        <v>343</v>
      </c>
    </row>
    <row r="21" spans="2:20" x14ac:dyDescent="0.3">
      <c r="B21" s="2" t="s">
        <v>344</v>
      </c>
      <c r="C21" s="4">
        <f>PL!C5/(AVERAGE(7889,BS!C46))</f>
        <v>1.0506467122234866</v>
      </c>
      <c r="D21" s="4">
        <f>PL!D5/AVERAGE(BS!C46,BS!D46)</f>
        <v>0.96241359608339594</v>
      </c>
      <c r="E21" s="4">
        <f>PL!E5/AVERAGE(BS!D46,BS!E46)</f>
        <v>1.034120851139207</v>
      </c>
      <c r="F21" s="4">
        <f>PL!F5/AVERAGE(BS!E46,BS!F46)</f>
        <v>1.0384516876204053</v>
      </c>
      <c r="G21" s="4">
        <f>PL!G5/AVERAGE(BS!F46,BS!G46)</f>
        <v>0.93526106634921191</v>
      </c>
      <c r="H21" s="4">
        <f>PL!H5/AVERAGE(BS!G46,BS!H46)</f>
        <v>1.1132775112761701</v>
      </c>
      <c r="I21" s="4">
        <f>PL!I5/AVERAGE(BS!H46,BS!I46)</f>
        <v>1.1366265369949875</v>
      </c>
      <c r="J21" s="4">
        <f>PL!J5/AVERAGE(BS!I46,BS!J46)</f>
        <v>1.0776516503652935</v>
      </c>
      <c r="K21" s="4">
        <f>PL!K5/AVERAGE(BS!J46,BS!K46)</f>
        <v>0.98534514430338405</v>
      </c>
      <c r="L21" s="4">
        <f>PL!L5/AVERAGE(BS!K46,BS!L46)</f>
        <v>0.89959230796983802</v>
      </c>
      <c r="M21" s="4">
        <f>PL!M5/AVERAGE(BS!L46,BS!M46)</f>
        <v>0.93163897492528824</v>
      </c>
      <c r="N21" s="4">
        <f>PL!N5/AVERAGE(BS!M46,BS!N46)</f>
        <v>0.9457179464621347</v>
      </c>
      <c r="O21" s="4">
        <f>PL!O5/AVERAGE(BS!N46,BS!O46)</f>
        <v>0.94672191040353804</v>
      </c>
      <c r="P21" s="4">
        <f>PL!P5/AVERAGE(BS!O46,BS!P46)</f>
        <v>0.94088052186218873</v>
      </c>
      <c r="Q21" s="4">
        <f>PL!Q5/AVERAGE(BS!P46,BS!Q46)</f>
        <v>0.9312770473232127</v>
      </c>
      <c r="R21" s="4">
        <f>PL!R5/AVERAGE(BS!Q46,BS!R46)</f>
        <v>0.92275695160876503</v>
      </c>
      <c r="S21" s="4">
        <f>PL!S5/AVERAGE(BS!R46,BS!S46)</f>
        <v>0.91484817032958643</v>
      </c>
      <c r="T21" s="4">
        <f>PL!T5/AVERAGE(BS!S46,BS!T46)</f>
        <v>0.90748512605391007</v>
      </c>
    </row>
    <row r="22" spans="2:20" x14ac:dyDescent="0.3">
      <c r="B22" s="2" t="s">
        <v>345</v>
      </c>
      <c r="C22" s="4">
        <f>PL!C5/AVERAGE(1887,BS!C35)</f>
        <v>4.4055559719203581</v>
      </c>
      <c r="D22" s="4">
        <f>PL!D5/AVERAGE(BS!C35,BS!D35)</f>
        <v>4.236204941072045</v>
      </c>
      <c r="E22" s="4">
        <f>PL!E5/AVERAGE(BS!D35,BS!E35)</f>
        <v>4.8698190918096032</v>
      </c>
      <c r="F22" s="4">
        <f>PL!F5/AVERAGE(BS!E35,BS!F35)</f>
        <v>4.7142026641053505</v>
      </c>
      <c r="G22" s="4">
        <f>PL!G5/AVERAGE(BS!F35,BS!G35)</f>
        <v>4.0314831800490838</v>
      </c>
      <c r="H22" s="4">
        <f>PL!H5/AVERAGE(BS!G35,BS!H35)</f>
        <v>4.9598610969257475</v>
      </c>
      <c r="I22" s="4">
        <f>PL!I5/AVERAGE(BS!H35,BS!I35)</f>
        <v>6.0331447738707755</v>
      </c>
      <c r="J22" s="4">
        <f>PL!J5/AVERAGE(BS!I35,BS!J35)</f>
        <v>7.4652159577975601</v>
      </c>
      <c r="K22" s="4">
        <f>PL!K5/AVERAGE(BS!J35,BS!K35)</f>
        <v>7.6236498010233094</v>
      </c>
      <c r="L22" s="4">
        <f>PL!L5/AVERAGE(BS!K35,BS!L35)</f>
        <v>6.8649179948734744</v>
      </c>
      <c r="M22" s="4">
        <f>PL!M5/AVERAGE(BS!L35,BS!M35)</f>
        <v>6.6551801358987808</v>
      </c>
      <c r="N22" s="4">
        <f>PL!N5/AVERAGE(BS!M35,BS!N35)</f>
        <v>6.6550082293683532</v>
      </c>
      <c r="O22" s="4">
        <f>PL!O5/AVERAGE(BS!N35,BS!O35)</f>
        <v>6.7843874242264324</v>
      </c>
      <c r="P22" s="4">
        <f>PL!P5/AVERAGE(BS!O35,BS!P35)</f>
        <v>6.8707498039694137</v>
      </c>
      <c r="Q22" s="4">
        <f>PL!Q5/AVERAGE(BS!P35,BS!Q35)</f>
        <v>6.9477113416978504</v>
      </c>
      <c r="R22" s="4">
        <f>PL!R5/AVERAGE(BS!Q35,BS!R35)</f>
        <v>7.0443451581263448</v>
      </c>
      <c r="S22" s="4">
        <f>PL!S5/AVERAGE(BS!R35,BS!S35)</f>
        <v>7.1558567303989964</v>
      </c>
      <c r="T22" s="4">
        <f>PL!T5/AVERAGE(BS!S35,BS!T35)</f>
        <v>7.2790274573753093</v>
      </c>
    </row>
    <row r="23" spans="2:20" x14ac:dyDescent="0.3">
      <c r="B23" s="1" t="s">
        <v>346</v>
      </c>
    </row>
    <row r="24" spans="2:20" x14ac:dyDescent="0.3">
      <c r="B24" s="2" t="s">
        <v>349</v>
      </c>
      <c r="C24" s="13">
        <f>AVERAGE(2303,BS!C40)*365/PL!C5</f>
        <v>108.79421604763253</v>
      </c>
      <c r="D24" s="13">
        <f>AVERAGE(BS!C40,BS!D40)*365/PL!D5</f>
        <v>120.33961539356973</v>
      </c>
      <c r="E24" s="13">
        <f>AVERAGE(BS!D40,BS!E40)*365/PL!E5</f>
        <v>102.64648102946215</v>
      </c>
      <c r="F24" s="13">
        <f>AVERAGE(BS!E40,BS!F40)*365/PL!F5</f>
        <v>94.445814656743948</v>
      </c>
      <c r="G24" s="13">
        <f>AVERAGE(BS!F40,BS!G40)*365/PL!G5</f>
        <v>100.34099713452953</v>
      </c>
      <c r="H24" s="13">
        <f>AVERAGE(BS!G40,BS!H40)*365/PL!H5</f>
        <v>85.699312219430823</v>
      </c>
      <c r="I24" s="13">
        <f>AVERAGE(BS!H40,BS!I40)*365/PL!I5</f>
        <v>82.67875989445912</v>
      </c>
      <c r="J24" s="13">
        <f>AVERAGE(BS!I40,BS!J40)*365/PL!J5</f>
        <v>88.501457468421521</v>
      </c>
      <c r="K24" s="13">
        <f>AVERAGE(BS!J40,BS!K40)*365/PL!K5</f>
        <v>97.77487778606347</v>
      </c>
      <c r="L24" s="13">
        <f>AVERAGE(BS!K40,BS!L40)*365/PL!L5</f>
        <v>102.74865645303602</v>
      </c>
      <c r="M24" s="13">
        <f>AVERAGE(BS!L40,BS!M40)*365/PL!M5</f>
        <v>97</v>
      </c>
      <c r="N24" s="13">
        <f>AVERAGE(BS!M40,BS!N40)*365/PL!N5</f>
        <v>97</v>
      </c>
      <c r="O24" s="13">
        <f>AVERAGE(BS!N40,BS!O40)*365/PL!O5</f>
        <v>97.000000000000014</v>
      </c>
      <c r="P24" s="13">
        <f>AVERAGE(BS!O40,BS!P40)*365/PL!P5</f>
        <v>97</v>
      </c>
      <c r="Q24" s="13">
        <f>AVERAGE(BS!P40,BS!Q40)*365/PL!Q5</f>
        <v>97</v>
      </c>
      <c r="R24" s="13">
        <f>AVERAGE(BS!Q40,BS!R40)*365/PL!R5</f>
        <v>97</v>
      </c>
      <c r="S24" s="13">
        <f>AVERAGE(BS!R40,BS!S40)*365/PL!S5</f>
        <v>97</v>
      </c>
      <c r="T24" s="13">
        <f>AVERAGE(BS!S40,BS!T40)*365/PL!T5</f>
        <v>97</v>
      </c>
    </row>
    <row r="25" spans="2:20" x14ac:dyDescent="0.3">
      <c r="B25" s="2" t="s">
        <v>348</v>
      </c>
      <c r="C25" s="13">
        <f>AVERAGE(1019,BS!C19)*365/-PL!C6</f>
        <v>79.48969192242734</v>
      </c>
      <c r="D25" s="13">
        <f>AVERAGE(BS!C19,BS!D19)*365/-PL!D6</f>
        <v>107.314308910978</v>
      </c>
      <c r="E25" s="13">
        <f>AVERAGE(BS!D19,BS!E19)*365/-PL!E6</f>
        <v>105.22118637242268</v>
      </c>
      <c r="F25" s="13">
        <f>AVERAGE(BS!E19,BS!F19)*365/-PL!F6</f>
        <v>88.622951582867771</v>
      </c>
      <c r="G25" s="13">
        <f>AVERAGE(BS!F19,BS!G19)*365/-PL!G6</f>
        <v>99.330109204368185</v>
      </c>
      <c r="H25" s="13">
        <f>AVERAGE(BS!G19,BS!H19)*365/-PL!H6</f>
        <v>96.353086658804074</v>
      </c>
      <c r="I25" s="13">
        <f>AVERAGE(BS!H19,BS!I19)*365/-PL!I6</f>
        <v>94.42403506074119</v>
      </c>
      <c r="J25" s="13">
        <f>AVERAGE(BS!I19,BS!J19)*365/-PL!J6</f>
        <v>104.23589880770406</v>
      </c>
      <c r="K25" s="13">
        <f>AVERAGE(BS!J19,BS!K19)*365/-PL!K6</f>
        <v>111.54846938775511</v>
      </c>
      <c r="L25" s="13">
        <f>AVERAGE(BS!K19,BS!L19)*365/-PL!L6</f>
        <v>126.38822295474978</v>
      </c>
      <c r="M25" s="13">
        <f>AVERAGE(BS!L19,BS!M19)*365/-PL!M6</f>
        <v>104</v>
      </c>
      <c r="N25" s="13">
        <f>AVERAGE(BS!M19,BS!N19)*365/-PL!N6</f>
        <v>104</v>
      </c>
      <c r="O25" s="13">
        <f>AVERAGE(BS!N19,BS!O19)*365/-PL!O6</f>
        <v>104</v>
      </c>
      <c r="P25" s="13">
        <f>AVERAGE(BS!O19,BS!P19)*365/-PL!P6</f>
        <v>103.99999999999999</v>
      </c>
      <c r="Q25" s="13">
        <f>AVERAGE(BS!P19,BS!Q19)*365/-PL!Q6</f>
        <v>103.99999999999999</v>
      </c>
      <c r="R25" s="13">
        <f>AVERAGE(BS!Q19,BS!R19)*365/-PL!R6</f>
        <v>104</v>
      </c>
      <c r="S25" s="13">
        <f>AVERAGE(BS!R19,BS!S19)*365/-PL!S6</f>
        <v>103.99999999999999</v>
      </c>
      <c r="T25" s="13">
        <f>AVERAGE(BS!S19,BS!T19)*365/-PL!T6</f>
        <v>104</v>
      </c>
    </row>
    <row r="26" spans="2:20" x14ac:dyDescent="0.3">
      <c r="B26" s="2" t="s">
        <v>347</v>
      </c>
      <c r="C26" s="13">
        <f>AVERAGE(1952,BS!C41)*365/-PL!C6</f>
        <v>137.44627569739677</v>
      </c>
      <c r="D26" s="13">
        <f>AVERAGE(BS!C41,BS!D41)*365/-PL!D6</f>
        <v>154.06759484782657</v>
      </c>
      <c r="E26" s="13">
        <f>AVERAGE(BS!D41,BS!E41)*365/-PL!E6</f>
        <v>141.62270457474227</v>
      </c>
      <c r="F26" s="13">
        <f>AVERAGE(BS!E41,BS!F41)*365/-PL!F6</f>
        <v>131.24366852886405</v>
      </c>
      <c r="G26" s="13">
        <f>AVERAGE(BS!F41,BS!G41)*365/-PL!G6</f>
        <v>151.0640665626625</v>
      </c>
      <c r="H26" s="13">
        <f>AVERAGE(BS!G41,BS!H41)*365/-PL!H6</f>
        <v>135.20208065623407</v>
      </c>
      <c r="I26" s="13">
        <f>AVERAGE(BS!H41,BS!I41)*365/-PL!I6</f>
        <v>123.10821928340766</v>
      </c>
      <c r="J26" s="13">
        <f>AVERAGE(BS!I41,BS!J41)*365/-PL!J6</f>
        <v>119.76039437480893</v>
      </c>
      <c r="K26" s="13">
        <f>AVERAGE(BS!J41,BS!K41)*365/-PL!K6</f>
        <v>116.20408163265306</v>
      </c>
      <c r="L26" s="13">
        <f>AVERAGE(BS!K41,BS!L41)*365/-PL!L6</f>
        <v>135.986290080911</v>
      </c>
      <c r="M26" s="13">
        <f>AVERAGE(BS!L41,BS!M41)*365/-PL!M6</f>
        <v>135</v>
      </c>
      <c r="N26" s="13">
        <f>AVERAGE(BS!M41,BS!N41)*365/-PL!N6</f>
        <v>135</v>
      </c>
      <c r="O26" s="13">
        <f>AVERAGE(BS!N41,BS!O41)*365/-PL!O6</f>
        <v>135</v>
      </c>
      <c r="P26" s="13">
        <f>AVERAGE(BS!O41,BS!P41)*365/-PL!P6</f>
        <v>135</v>
      </c>
      <c r="Q26" s="13">
        <f>AVERAGE(BS!P41,BS!Q41)*365/-PL!Q6</f>
        <v>135</v>
      </c>
      <c r="R26" s="13">
        <f>AVERAGE(BS!Q41,BS!R41)*365/-PL!R6</f>
        <v>135</v>
      </c>
      <c r="S26" s="13">
        <f>AVERAGE(BS!R41,BS!S41)*365/-PL!S6</f>
        <v>135</v>
      </c>
      <c r="T26" s="13">
        <f>AVERAGE(BS!S41,BS!T41)*365/-PL!T6</f>
        <v>135</v>
      </c>
    </row>
    <row r="27" spans="2:20" x14ac:dyDescent="0.3">
      <c r="B27" s="5" t="s">
        <v>350</v>
      </c>
    </row>
    <row r="28" spans="2:20" x14ac:dyDescent="0.3">
      <c r="B28" s="2" t="s">
        <v>308</v>
      </c>
      <c r="C28" s="205">
        <f>C37/PL!C12</f>
        <v>32.645814000403476</v>
      </c>
      <c r="D28" s="205">
        <f>D37/PL!D12</f>
        <v>38.021998015216681</v>
      </c>
      <c r="E28" s="205">
        <f>E37/PL!E12</f>
        <v>28.555746879035745</v>
      </c>
      <c r="F28" s="205">
        <f>F37/PL!F12</f>
        <v>22.775493316359011</v>
      </c>
      <c r="G28" s="205">
        <f>G37/PL!G12</f>
        <v>36.048031196499899</v>
      </c>
      <c r="H28" s="205">
        <f>H37/PL!H12</f>
        <v>39.34116098294885</v>
      </c>
      <c r="I28" s="205">
        <f>I37/PL!I12</f>
        <v>39.211418489767112</v>
      </c>
      <c r="J28" s="205">
        <f>J37/PL!J12</f>
        <v>40.211559999999999</v>
      </c>
      <c r="K28" s="205">
        <f>K37/PL!K12</f>
        <v>45.338542039355993</v>
      </c>
      <c r="L28" s="205">
        <f>L37/PL!L12</f>
        <v>41.126037735849053</v>
      </c>
      <c r="M28" s="205">
        <f>M37/PL!M12</f>
        <v>36.793998112940272</v>
      </c>
      <c r="N28" s="205">
        <f>N37/PL!N12</f>
        <v>32.878975835614895</v>
      </c>
      <c r="O28" s="205">
        <f>O37/PL!O12</f>
        <v>29.672596929764108</v>
      </c>
      <c r="P28" s="205">
        <f>P37/PL!P12</f>
        <v>27.046519044375675</v>
      </c>
      <c r="Q28" s="205">
        <f>Q37/PL!Q12</f>
        <v>25.395792529930215</v>
      </c>
      <c r="R28" s="205">
        <f>R37/PL!R12</f>
        <v>23.845814582094103</v>
      </c>
      <c r="S28" s="205">
        <f>S37/PL!S12</f>
        <v>22.3904362273184</v>
      </c>
      <c r="T28" s="205">
        <f>T37/PL!T12</f>
        <v>21.023883781519629</v>
      </c>
    </row>
    <row r="29" spans="2:20" x14ac:dyDescent="0.3">
      <c r="B29" s="2" t="s">
        <v>352</v>
      </c>
      <c r="C29" s="205">
        <f>C37/PL!C5</f>
        <v>3.6705483413666005</v>
      </c>
      <c r="D29" s="205">
        <f>D37/PL!D5</f>
        <v>5.3519195399622843</v>
      </c>
      <c r="E29" s="205">
        <f>E37/PL!E5</f>
        <v>4.2609840698869483</v>
      </c>
      <c r="F29" s="205">
        <f>F37/PL!F5</f>
        <v>3.8368649065991804</v>
      </c>
      <c r="G29" s="205">
        <f>G37/PL!G5</f>
        <v>4.6611119993113022</v>
      </c>
      <c r="H29" s="205">
        <f>H37/PL!H5</f>
        <v>6.4615357687080435</v>
      </c>
      <c r="I29" s="205">
        <f>I37/PL!I5</f>
        <v>5.235825480588014</v>
      </c>
      <c r="J29" s="205">
        <f>J37/PL!J5</f>
        <v>7.1038883490857696</v>
      </c>
      <c r="K29" s="205">
        <f>K37/PL!K5</f>
        <v>8.3997829149059573</v>
      </c>
      <c r="L29" s="205">
        <f>L37/PL!L5</f>
        <v>7.5179465789684761</v>
      </c>
      <c r="M29" s="205">
        <f>M37/PL!M5</f>
        <v>6.8971986963013538</v>
      </c>
      <c r="N29" s="205">
        <f>N37/PL!N5</f>
        <v>6.3277052259645448</v>
      </c>
      <c r="O29" s="205">
        <f>O37/PL!O5</f>
        <v>5.8589863203375412</v>
      </c>
      <c r="P29" s="205">
        <f>P37/PL!P5</f>
        <v>5.4756881498481693</v>
      </c>
      <c r="Q29" s="205">
        <f>Q37/PL!Q5</f>
        <v>5.1414912205147125</v>
      </c>
      <c r="R29" s="205">
        <f>R37/PL!R5</f>
        <v>4.8276912868682755</v>
      </c>
      <c r="S29" s="205">
        <f>S37/PL!S5</f>
        <v>4.5330434618481465</v>
      </c>
      <c r="T29" s="205">
        <f>T37/PL!T5</f>
        <v>4.2563788374161007</v>
      </c>
    </row>
    <row r="30" spans="2:20" x14ac:dyDescent="0.3">
      <c r="B30" s="2" t="s">
        <v>310</v>
      </c>
      <c r="C30" s="205">
        <f>C37/PL!C14</f>
        <v>40.315221723966133</v>
      </c>
      <c r="D30" s="205">
        <f>D37/PL!D14</f>
        <v>45.212115252237204</v>
      </c>
      <c r="E30" s="205">
        <f>E37/PL!E14</f>
        <v>33.755406666101287</v>
      </c>
      <c r="F30" s="205">
        <f>F37/PL!F14</f>
        <v>27.829431438127095</v>
      </c>
      <c r="G30" s="205">
        <f>G37/PL!G14</f>
        <v>50.380034560680571</v>
      </c>
      <c r="H30" s="205">
        <f>H37/PL!H14</f>
        <v>48.596112745857212</v>
      </c>
      <c r="I30" s="205">
        <f>I37/PL!I14</f>
        <v>48.996984126984131</v>
      </c>
      <c r="J30" s="205">
        <f>J37/PL!J14</f>
        <v>46.622098550724637</v>
      </c>
      <c r="K30" s="205">
        <f>K37/PL!K14</f>
        <v>51.908335893497181</v>
      </c>
      <c r="L30" s="205">
        <f>L37/PL!L14</f>
        <v>47.098613065326631</v>
      </c>
      <c r="M30" s="205">
        <f>M37/PL!M14</f>
        <v>43.185621404953004</v>
      </c>
      <c r="N30" s="205">
        <f>N37/PL!N14</f>
        <v>38.515235452283633</v>
      </c>
      <c r="O30" s="205">
        <f>O37/PL!O14</f>
        <v>34.709104009277823</v>
      </c>
      <c r="P30" s="205">
        <f>P37/PL!P14</f>
        <v>31.608870864858087</v>
      </c>
      <c r="Q30" s="205">
        <f>Q37/PL!Q14</f>
        <v>29.772518718417913</v>
      </c>
      <c r="R30" s="205">
        <f>R37/PL!R14</f>
        <v>28.022609003671867</v>
      </c>
      <c r="S30" s="205">
        <f>S37/PL!S14</f>
        <v>26.362443790583772</v>
      </c>
      <c r="T30" s="205">
        <f>T37/PL!T14</f>
        <v>24.792025875917091</v>
      </c>
    </row>
    <row r="31" spans="2:20" x14ac:dyDescent="0.3">
      <c r="B31" s="2" t="s">
        <v>351</v>
      </c>
      <c r="C31" s="205">
        <f>C34/PL!C22</f>
        <v>339.45333333333332</v>
      </c>
      <c r="D31" s="205">
        <f>D34/PL!D22</f>
        <v>69.738456818530452</v>
      </c>
      <c r="E31" s="205">
        <f>E34/PL!E22</f>
        <v>57.45991808074897</v>
      </c>
      <c r="F31" s="205">
        <f>F34/PL!F22</f>
        <v>57.432484692233317</v>
      </c>
      <c r="G31" s="205">
        <f>G34/PL!G22</f>
        <v>104.45954156310407</v>
      </c>
      <c r="H31" s="205">
        <f>H34/PL!H22</f>
        <v>77.442166296570434</v>
      </c>
      <c r="I31" s="205">
        <f>I34/PL!I22</f>
        <v>50.203393142654114</v>
      </c>
      <c r="J31" s="205">
        <f>J34/PL!J22</f>
        <v>58.27465909090909</v>
      </c>
      <c r="K31" s="205">
        <f>K34/PL!K22</f>
        <v>65.613135271807835</v>
      </c>
      <c r="L31" s="205">
        <f>L34/PL!L22</f>
        <v>52.477279651795428</v>
      </c>
      <c r="M31" s="205">
        <f>M34/PL!M22</f>
        <v>56.450368020295926</v>
      </c>
      <c r="N31" s="205">
        <f>N34/PL!N22</f>
        <v>50.999708612178246</v>
      </c>
      <c r="O31" s="205">
        <f>O34/PL!O22</f>
        <v>45.526187176630415</v>
      </c>
      <c r="P31" s="205">
        <f>P34/PL!P22</f>
        <v>41.616752462293896</v>
      </c>
      <c r="Q31" s="205">
        <f>Q34/PL!Q22</f>
        <v>38.748763767032862</v>
      </c>
      <c r="R31" s="205">
        <f>R34/PL!R22</f>
        <v>36.519231007416835</v>
      </c>
      <c r="S31" s="205">
        <f>S34/PL!S22</f>
        <v>34.005529494858081</v>
      </c>
      <c r="T31" s="205">
        <f>T34/PL!T22</f>
        <v>32.005932609479835</v>
      </c>
    </row>
    <row r="34" spans="2:20" x14ac:dyDescent="0.3">
      <c r="B34" s="3" t="s">
        <v>354</v>
      </c>
      <c r="C34">
        <f>C35*C36</f>
        <v>31569.159999999996</v>
      </c>
      <c r="D34">
        <f t="shared" ref="D34:L34" si="1">D35*D36</f>
        <v>45462.5</v>
      </c>
      <c r="E34">
        <f t="shared" si="1"/>
        <v>39279.599999999999</v>
      </c>
      <c r="F34">
        <f t="shared" si="1"/>
        <v>35642.6</v>
      </c>
      <c r="G34">
        <f t="shared" si="1"/>
        <v>37824.799999999996</v>
      </c>
      <c r="H34">
        <f t="shared" si="1"/>
        <v>62774.619999999995</v>
      </c>
      <c r="I34">
        <f t="shared" si="1"/>
        <v>56518.979999999996</v>
      </c>
      <c r="J34">
        <f t="shared" si="1"/>
        <v>82050.720000000001</v>
      </c>
      <c r="K34">
        <f t="shared" si="1"/>
        <v>103799.98</v>
      </c>
      <c r="L34">
        <f t="shared" si="1"/>
        <v>96453.239999999991</v>
      </c>
      <c r="M34">
        <f>L34</f>
        <v>96453.239999999991</v>
      </c>
      <c r="N34">
        <f t="shared" ref="N34:T34" si="2">M34</f>
        <v>96453.239999999991</v>
      </c>
      <c r="O34">
        <f t="shared" si="2"/>
        <v>96453.239999999991</v>
      </c>
      <c r="P34">
        <f t="shared" si="2"/>
        <v>96453.239999999991</v>
      </c>
      <c r="Q34">
        <f t="shared" si="2"/>
        <v>96453.239999999991</v>
      </c>
      <c r="R34">
        <f t="shared" si="2"/>
        <v>96453.239999999991</v>
      </c>
      <c r="S34">
        <f t="shared" si="2"/>
        <v>96453.239999999991</v>
      </c>
      <c r="T34">
        <f t="shared" si="2"/>
        <v>96453.239999999991</v>
      </c>
    </row>
    <row r="35" spans="2:20" x14ac:dyDescent="0.3">
      <c r="B35" s="3" t="s">
        <v>356</v>
      </c>
      <c r="C35" s="44">
        <v>434</v>
      </c>
      <c r="D35" s="44">
        <v>625</v>
      </c>
      <c r="E35" s="44">
        <v>540</v>
      </c>
      <c r="F35" s="44">
        <v>490</v>
      </c>
      <c r="G35" s="44">
        <v>520</v>
      </c>
      <c r="H35" s="44">
        <v>863</v>
      </c>
      <c r="I35" s="44">
        <v>777</v>
      </c>
      <c r="J35" s="44">
        <v>1128</v>
      </c>
      <c r="K35" s="44">
        <v>1427</v>
      </c>
      <c r="L35" s="44">
        <v>1326</v>
      </c>
    </row>
    <row r="36" spans="2:20" x14ac:dyDescent="0.3">
      <c r="B36" s="3" t="s">
        <v>355</v>
      </c>
      <c r="C36" s="44">
        <v>72.739999999999995</v>
      </c>
      <c r="D36" s="44">
        <v>72.739999999999995</v>
      </c>
      <c r="E36" s="44">
        <v>72.739999999999995</v>
      </c>
      <c r="F36" s="44">
        <v>72.739999999999995</v>
      </c>
      <c r="G36" s="44">
        <v>72.739999999999995</v>
      </c>
      <c r="H36" s="44">
        <v>72.739999999999995</v>
      </c>
      <c r="I36" s="44">
        <v>72.739999999999995</v>
      </c>
      <c r="J36" s="44">
        <v>72.739999999999995</v>
      </c>
      <c r="K36" s="44">
        <v>72.739999999999995</v>
      </c>
      <c r="L36" s="44">
        <v>72.739999999999995</v>
      </c>
      <c r="M36">
        <v>72.739999999999995</v>
      </c>
      <c r="N36">
        <v>72.739999999999995</v>
      </c>
      <c r="O36">
        <v>72.739999999999995</v>
      </c>
      <c r="P36">
        <v>72.739999999999995</v>
      </c>
      <c r="Q36">
        <v>72.739999999999995</v>
      </c>
      <c r="R36">
        <v>72.739999999999995</v>
      </c>
      <c r="S36">
        <v>72.739999999999995</v>
      </c>
      <c r="T36">
        <v>72.739999999999995</v>
      </c>
    </row>
    <row r="37" spans="2:20" x14ac:dyDescent="0.3">
      <c r="B37" s="3" t="s">
        <v>306</v>
      </c>
      <c r="C37">
        <f>C34+BS!C13+BS!C15-BS!C43</f>
        <v>32365.059999999998</v>
      </c>
      <c r="D37">
        <f>D34+BS!D13+BS!D15-BS!D43</f>
        <v>45976.200000000004</v>
      </c>
      <c r="E37">
        <f>E34+BS!E13+BS!E15-BS!E43</f>
        <v>39801</v>
      </c>
      <c r="F37">
        <f>F34+BS!F13+BS!F15-BS!F43</f>
        <v>35780.299999999996</v>
      </c>
      <c r="G37">
        <f>G34+BS!G13+BS!G15-BS!G43</f>
        <v>37900.899999999994</v>
      </c>
      <c r="H37">
        <f>H34+BS!H13+BS!H15-BS!H43</f>
        <v>62757.02</v>
      </c>
      <c r="I37">
        <f>I34+BS!I13+BS!I15-BS!I43</f>
        <v>55562.58</v>
      </c>
      <c r="J37">
        <f>J34+BS!J13+BS!J15-BS!J43</f>
        <v>80423.12</v>
      </c>
      <c r="K37">
        <f>K34+BS!K13+BS!K15-BS!K43</f>
        <v>101376.98</v>
      </c>
      <c r="L37">
        <f>L34+BS!L13+BS!L15-BS!L43</f>
        <v>93726.239999999991</v>
      </c>
      <c r="M37">
        <f>L37</f>
        <v>93726.239999999991</v>
      </c>
      <c r="N37">
        <f t="shared" ref="N37:T37" si="3">M37</f>
        <v>93726.239999999991</v>
      </c>
      <c r="O37">
        <f t="shared" si="3"/>
        <v>93726.239999999991</v>
      </c>
      <c r="P37">
        <f t="shared" si="3"/>
        <v>93726.239999999991</v>
      </c>
      <c r="Q37">
        <f t="shared" si="3"/>
        <v>93726.239999999991</v>
      </c>
      <c r="R37">
        <f t="shared" si="3"/>
        <v>93726.239999999991</v>
      </c>
      <c r="S37">
        <f t="shared" si="3"/>
        <v>93726.239999999991</v>
      </c>
      <c r="T37">
        <f t="shared" si="3"/>
        <v>93726.239999999991</v>
      </c>
    </row>
    <row r="48" spans="2:20" x14ac:dyDescent="0.3">
      <c r="F48" s="259"/>
    </row>
    <row r="49" spans="6:6" x14ac:dyDescent="0.3">
      <c r="F49" s="259"/>
    </row>
    <row r="50" spans="6:6" x14ac:dyDescent="0.3">
      <c r="F50" s="2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28D2-E026-4E45-AE7B-DB8C60F67E6C}">
  <dimension ref="A1:W37"/>
  <sheetViews>
    <sheetView showGridLines="0" zoomScale="94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7" sqref="C37"/>
    </sheetView>
  </sheetViews>
  <sheetFormatPr defaultRowHeight="18" customHeight="1" x14ac:dyDescent="0.3"/>
  <cols>
    <col min="1" max="1" width="2.77734375" customWidth="1"/>
    <col min="2" max="2" width="50.77734375" customWidth="1"/>
    <col min="3" max="16" width="10.77734375" customWidth="1"/>
    <col min="17" max="17" width="9.6640625" bestFit="1" customWidth="1"/>
    <col min="18" max="20" width="10.21875" bestFit="1" customWidth="1"/>
  </cols>
  <sheetData>
    <row r="1" spans="1:23" ht="16.05" customHeight="1" x14ac:dyDescent="0.3">
      <c r="B1" s="7"/>
    </row>
    <row r="2" spans="1:23" ht="21" x14ac:dyDescent="0.4">
      <c r="B2" s="45" t="s">
        <v>29</v>
      </c>
      <c r="T2" s="246" t="str">
        <f>"CURRENTLY RUNNING: "&amp;UPPER(CHOOSE(Scenarios!$D$4,Scenarios!C12,Scenarios!C13,Scenarios!C14))&amp;" SCENARIO"</f>
        <v>CURRENTLY RUNNING: BASE SCENARIO</v>
      </c>
    </row>
    <row r="3" spans="1:23" ht="14.4" x14ac:dyDescent="0.3"/>
    <row r="4" spans="1:23" ht="19.95" customHeight="1" x14ac:dyDescent="0.3">
      <c r="A4" t="s">
        <v>15</v>
      </c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3" s="1" customFormat="1" ht="18" customHeight="1" x14ac:dyDescent="0.3">
      <c r="B5" s="1" t="s">
        <v>21</v>
      </c>
      <c r="C5" s="84">
        <v>8817.5</v>
      </c>
      <c r="D5" s="84">
        <v>8590.6</v>
      </c>
      <c r="E5" s="84">
        <v>9340.7999999999993</v>
      </c>
      <c r="F5" s="84">
        <v>9325.4</v>
      </c>
      <c r="G5" s="84">
        <v>8131.3</v>
      </c>
      <c r="H5" s="84">
        <v>9712.4</v>
      </c>
      <c r="I5" s="84">
        <v>10612</v>
      </c>
      <c r="J5" s="84">
        <v>11321</v>
      </c>
      <c r="K5" s="84">
        <v>12069</v>
      </c>
      <c r="L5" s="84">
        <v>12467</v>
      </c>
      <c r="M5" s="30">
        <f>L5*(1+Scenarios!H10)</f>
        <v>13589.03</v>
      </c>
      <c r="N5" s="30">
        <f>M5*(1+Scenarios!I10)</f>
        <v>14812.042700000002</v>
      </c>
      <c r="O5" s="30">
        <f>N5*(1+Scenarios!J10)</f>
        <v>15997.006116000002</v>
      </c>
      <c r="P5" s="30">
        <f>O5*(1+Scenarios!K10)</f>
        <v>17116.796544120003</v>
      </c>
      <c r="Q5" s="30">
        <f>P5*(1+Scenarios!L10)</f>
        <v>18229.388319487804</v>
      </c>
      <c r="R5" s="30">
        <f>Q5*(1+Scenarios!M10)</f>
        <v>19414.298560254509</v>
      </c>
      <c r="S5" s="30">
        <f>R5*(1+Scenarios!N10)</f>
        <v>20676.227966671049</v>
      </c>
      <c r="T5" s="30">
        <f>S5*(1+Scenarios!O10)</f>
        <v>22020.182784504665</v>
      </c>
    </row>
    <row r="6" spans="1:23" s="1" customFormat="1" ht="18" customHeight="1" x14ac:dyDescent="0.3">
      <c r="B6" s="5" t="s">
        <v>34</v>
      </c>
      <c r="C6" s="30">
        <v>-5151.3</v>
      </c>
      <c r="D6" s="30">
        <v>-4557.3</v>
      </c>
      <c r="E6" s="30">
        <v>-4966.3999999999996</v>
      </c>
      <c r="F6" s="30">
        <v>-5370</v>
      </c>
      <c r="G6" s="30">
        <v>-4807.5</v>
      </c>
      <c r="H6" s="30">
        <v>-5680.9</v>
      </c>
      <c r="I6" s="30">
        <v>-6503</v>
      </c>
      <c r="J6" s="30">
        <v>-6542</v>
      </c>
      <c r="K6" s="30">
        <v>-6860</v>
      </c>
      <c r="L6" s="30">
        <v>-6674</v>
      </c>
      <c r="M6" s="30">
        <f>-M5*(1-Scenarios!H19)</f>
        <v>-7406.0213499999991</v>
      </c>
      <c r="N6" s="30">
        <f>-N5*(1-Scenarios!I19)</f>
        <v>-7998.5030580000011</v>
      </c>
      <c r="O6" s="30">
        <f>-O5*(1-Scenarios!J19)</f>
        <v>-8558.3982720599997</v>
      </c>
      <c r="P6" s="30">
        <f>-P5*(1-Scenarios!K19)</f>
        <v>-9071.9021683836017</v>
      </c>
      <c r="Q6" s="30">
        <f>-Q5*(1-Scenarios!L19)</f>
        <v>-9661.5758093285367</v>
      </c>
      <c r="R6" s="30">
        <f>-R5*(1-Scenarios!M19)</f>
        <v>-10289.578236934891</v>
      </c>
      <c r="S6" s="30">
        <f>-S5*(1-Scenarios!N19)</f>
        <v>-10958.400822335656</v>
      </c>
      <c r="T6" s="30">
        <f>-T5*(1-Scenarios!O19)</f>
        <v>-11670.696875787473</v>
      </c>
    </row>
    <row r="7" spans="1:23" ht="18" customHeight="1" x14ac:dyDescent="0.3">
      <c r="A7" t="s">
        <v>15</v>
      </c>
      <c r="B7" s="28" t="s">
        <v>30</v>
      </c>
      <c r="C7" s="31">
        <f t="shared" ref="C7:P7" si="5">C5+C6</f>
        <v>3666.2</v>
      </c>
      <c r="D7" s="31">
        <f t="shared" si="5"/>
        <v>4033.3</v>
      </c>
      <c r="E7" s="31">
        <f t="shared" si="5"/>
        <v>4374.3999999999996</v>
      </c>
      <c r="F7" s="31">
        <f t="shared" si="5"/>
        <v>3955.3999999999996</v>
      </c>
      <c r="G7" s="31">
        <f t="shared" si="5"/>
        <v>3323.8</v>
      </c>
      <c r="H7" s="31">
        <f t="shared" si="5"/>
        <v>4031.5</v>
      </c>
      <c r="I7" s="31">
        <f t="shared" si="5"/>
        <v>4109</v>
      </c>
      <c r="J7" s="31">
        <f t="shared" si="5"/>
        <v>4779</v>
      </c>
      <c r="K7" s="31">
        <f t="shared" si="5"/>
        <v>5209</v>
      </c>
      <c r="L7" s="31">
        <f t="shared" si="5"/>
        <v>5793</v>
      </c>
      <c r="M7" s="31">
        <f t="shared" si="5"/>
        <v>6183.0086500000016</v>
      </c>
      <c r="N7" s="31">
        <f t="shared" si="5"/>
        <v>6813.5396420000006</v>
      </c>
      <c r="O7" s="31">
        <f t="shared" si="5"/>
        <v>7438.6078439400026</v>
      </c>
      <c r="P7" s="31">
        <f t="shared" si="5"/>
        <v>8044.8943757364013</v>
      </c>
      <c r="Q7" s="31">
        <f t="shared" ref="Q7:T7" si="6">Q5+Q6</f>
        <v>8567.8125101592668</v>
      </c>
      <c r="R7" s="31">
        <f t="shared" si="6"/>
        <v>9124.7203233196178</v>
      </c>
      <c r="S7" s="31">
        <f t="shared" si="6"/>
        <v>9717.8271443353933</v>
      </c>
      <c r="T7" s="31">
        <f t="shared" si="6"/>
        <v>10349.485908717192</v>
      </c>
      <c r="V7" s="12"/>
    </row>
    <row r="8" spans="1:23" ht="18" customHeight="1" x14ac:dyDescent="0.3">
      <c r="B8" t="s">
        <v>35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V8" s="12"/>
    </row>
    <row r="9" spans="1:23" ht="18" customHeight="1" x14ac:dyDescent="0.3">
      <c r="B9" s="9" t="s">
        <v>22</v>
      </c>
      <c r="C9" s="46">
        <v>-688.9</v>
      </c>
      <c r="D9" s="46">
        <v>-681.2</v>
      </c>
      <c r="E9" s="46">
        <v>-690.2</v>
      </c>
      <c r="F9" s="46">
        <v>-530.4</v>
      </c>
      <c r="G9" s="46">
        <v>-557</v>
      </c>
      <c r="H9" s="46">
        <v>-653.9</v>
      </c>
      <c r="I9" s="46">
        <v>-613</v>
      </c>
      <c r="J9" s="46">
        <v>-549</v>
      </c>
      <c r="K9" s="46">
        <v>-614</v>
      </c>
      <c r="L9" s="46">
        <v>-635</v>
      </c>
      <c r="M9" s="32">
        <f>-M5*Assumptions!E7</f>
        <v>-849.9333491342951</v>
      </c>
      <c r="N9" s="32">
        <f>-N5*Assumptions!F7</f>
        <v>-926.42735055638173</v>
      </c>
      <c r="O9" s="32">
        <f>-O5*Assumptions!G7</f>
        <v>-1000.5415386008923</v>
      </c>
      <c r="P9" s="32">
        <f>-P5*Assumptions!H7</f>
        <v>-1070.5794463029547</v>
      </c>
      <c r="Q9" s="32">
        <f>-Q5*Assumptions!I7</f>
        <v>-1140.1671103126469</v>
      </c>
      <c r="R9" s="32">
        <f>-R5*Assumptions!J7</f>
        <v>-1214.2779724829688</v>
      </c>
      <c r="S9" s="32">
        <f>-S5*Assumptions!K7</f>
        <v>-1293.2060406943615</v>
      </c>
      <c r="T9" s="32">
        <f>-T5*Assumptions!L7</f>
        <v>-1377.2644333394949</v>
      </c>
      <c r="V9" s="12"/>
    </row>
    <row r="10" spans="1:23" ht="18" customHeight="1" x14ac:dyDescent="0.3">
      <c r="B10" s="9" t="s">
        <v>23</v>
      </c>
      <c r="C10" s="46">
        <v>-1985.9</v>
      </c>
      <c r="D10" s="46">
        <v>-2142.9</v>
      </c>
      <c r="E10" s="46">
        <v>-2290.4</v>
      </c>
      <c r="F10" s="46">
        <v>-1854</v>
      </c>
      <c r="G10" s="46">
        <v>-1715.4</v>
      </c>
      <c r="H10" s="46">
        <v>-1782.4</v>
      </c>
      <c r="I10" s="46">
        <v>-2079</v>
      </c>
      <c r="J10" s="46">
        <v>-2230</v>
      </c>
      <c r="K10" s="46">
        <v>-2359</v>
      </c>
      <c r="L10" s="46">
        <v>-2879</v>
      </c>
      <c r="M10" s="32">
        <f>-M5*Assumptions!E8</f>
        <v>-2785.7511500000001</v>
      </c>
      <c r="N10" s="32">
        <f>-N5*Assumptions!F8</f>
        <v>-3036.4687535000003</v>
      </c>
      <c r="O10" s="32">
        <f>-O5*Assumptions!G8</f>
        <v>-3279.3862537800001</v>
      </c>
      <c r="P10" s="32">
        <f>-P5*Assumptions!H8</f>
        <v>-3508.9432915446005</v>
      </c>
      <c r="Q10" s="32">
        <f>-Q5*Assumptions!I8</f>
        <v>-3737.0246054949994</v>
      </c>
      <c r="R10" s="32">
        <f>-R5*Assumptions!J8</f>
        <v>-3979.9312048521742</v>
      </c>
      <c r="S10" s="32">
        <f>-S5*Assumptions!K8</f>
        <v>-4238.6267331675645</v>
      </c>
      <c r="T10" s="32">
        <f>-T5*Assumptions!L8</f>
        <v>-4514.1374708234562</v>
      </c>
      <c r="V10" s="12"/>
    </row>
    <row r="11" spans="1:23" ht="18" customHeight="1" x14ac:dyDescent="0.3">
      <c r="B11" s="27" t="s">
        <v>36</v>
      </c>
      <c r="C11" s="34">
        <f t="shared" ref="C11:P11" si="7">SUM(C9:C10)</f>
        <v>-2674.8</v>
      </c>
      <c r="D11" s="34">
        <f t="shared" si="7"/>
        <v>-2824.1000000000004</v>
      </c>
      <c r="E11" s="34">
        <f t="shared" si="7"/>
        <v>-2980.6000000000004</v>
      </c>
      <c r="F11" s="34">
        <f t="shared" si="7"/>
        <v>-2384.4</v>
      </c>
      <c r="G11" s="34">
        <f t="shared" si="7"/>
        <v>-2272.4</v>
      </c>
      <c r="H11" s="34">
        <f t="shared" si="7"/>
        <v>-2436.3000000000002</v>
      </c>
      <c r="I11" s="34">
        <f t="shared" si="7"/>
        <v>-2692</v>
      </c>
      <c r="J11" s="34">
        <f t="shared" si="7"/>
        <v>-2779</v>
      </c>
      <c r="K11" s="34">
        <f t="shared" si="7"/>
        <v>-2973</v>
      </c>
      <c r="L11" s="34">
        <f t="shared" si="7"/>
        <v>-3514</v>
      </c>
      <c r="M11" s="31">
        <f t="shared" si="7"/>
        <v>-3635.684499134295</v>
      </c>
      <c r="N11" s="31">
        <f t="shared" si="7"/>
        <v>-3962.8961040563818</v>
      </c>
      <c r="O11" s="31">
        <f t="shared" si="7"/>
        <v>-4279.9277923808922</v>
      </c>
      <c r="P11" s="31">
        <f t="shared" si="7"/>
        <v>-4579.5227378475556</v>
      </c>
      <c r="Q11" s="31">
        <f t="shared" ref="Q11:T11" si="8">SUM(Q9:Q10)</f>
        <v>-4877.1917158076467</v>
      </c>
      <c r="R11" s="31">
        <f t="shared" si="8"/>
        <v>-5194.2091773351431</v>
      </c>
      <c r="S11" s="31">
        <f t="shared" si="8"/>
        <v>-5531.8327738619264</v>
      </c>
      <c r="T11" s="31">
        <f t="shared" si="8"/>
        <v>-5891.4019041629508</v>
      </c>
      <c r="W11" s="11"/>
    </row>
    <row r="12" spans="1:23" ht="18" customHeight="1" x14ac:dyDescent="0.3">
      <c r="A12" t="s">
        <v>15</v>
      </c>
      <c r="B12" s="1" t="s">
        <v>31</v>
      </c>
      <c r="C12" s="30">
        <f t="shared" ref="C12:P12" si="9">C7+C11</f>
        <v>991.39999999999964</v>
      </c>
      <c r="D12" s="30">
        <f t="shared" si="9"/>
        <v>1209.1999999999998</v>
      </c>
      <c r="E12" s="30">
        <f t="shared" si="9"/>
        <v>1393.7999999999993</v>
      </c>
      <c r="F12" s="30">
        <f t="shared" si="9"/>
        <v>1570.9999999999995</v>
      </c>
      <c r="G12" s="30">
        <f t="shared" si="9"/>
        <v>1051.4000000000001</v>
      </c>
      <c r="H12" s="30">
        <f t="shared" si="9"/>
        <v>1595.1999999999998</v>
      </c>
      <c r="I12" s="30">
        <f t="shared" si="9"/>
        <v>1417</v>
      </c>
      <c r="J12" s="30">
        <f t="shared" si="9"/>
        <v>2000</v>
      </c>
      <c r="K12" s="30">
        <f t="shared" si="9"/>
        <v>2236</v>
      </c>
      <c r="L12" s="30">
        <f t="shared" si="9"/>
        <v>2279</v>
      </c>
      <c r="M12" s="30">
        <f t="shared" si="9"/>
        <v>2547.3241508657065</v>
      </c>
      <c r="N12" s="30">
        <f t="shared" si="9"/>
        <v>2850.6435379436189</v>
      </c>
      <c r="O12" s="30">
        <f t="shared" si="9"/>
        <v>3158.6800515591103</v>
      </c>
      <c r="P12" s="30">
        <f t="shared" si="9"/>
        <v>3465.3716378888457</v>
      </c>
      <c r="Q12" s="30">
        <f t="shared" ref="Q12:T12" si="10">Q7+Q11</f>
        <v>3690.6207943516201</v>
      </c>
      <c r="R12" s="30">
        <f t="shared" si="10"/>
        <v>3930.5111459844748</v>
      </c>
      <c r="S12" s="30">
        <f t="shared" si="10"/>
        <v>4185.9943704734669</v>
      </c>
      <c r="T12" s="30">
        <f t="shared" si="10"/>
        <v>4458.0840045542409</v>
      </c>
    </row>
    <row r="13" spans="1:23" ht="18" customHeight="1" x14ac:dyDescent="0.3">
      <c r="B13" t="s">
        <v>32</v>
      </c>
      <c r="C13" s="46">
        <v>-188.6</v>
      </c>
      <c r="D13" s="46">
        <v>-192.3</v>
      </c>
      <c r="E13" s="46">
        <v>-214.7</v>
      </c>
      <c r="F13" s="46">
        <v>-285.3</v>
      </c>
      <c r="G13" s="46">
        <v>-299.10000000000002</v>
      </c>
      <c r="H13" s="46">
        <v>-303.8</v>
      </c>
      <c r="I13" s="46">
        <v>-283</v>
      </c>
      <c r="J13" s="46">
        <v>-275</v>
      </c>
      <c r="K13" s="46">
        <v>-283</v>
      </c>
      <c r="L13" s="46">
        <v>-289</v>
      </c>
      <c r="M13" s="33">
        <f>'Working Schedules'!H70</f>
        <v>-377.01290025000003</v>
      </c>
      <c r="N13" s="33">
        <f>'Working Schedules'!I70</f>
        <v>-417.15873902250001</v>
      </c>
      <c r="O13" s="33">
        <f>'Working Schedules'!J70</f>
        <v>-458.34414041180003</v>
      </c>
      <c r="P13" s="33">
        <f>'Working Schedules'!K70</f>
        <v>-500.18378284900103</v>
      </c>
      <c r="Q13" s="33">
        <f>'Working Schedules'!L70</f>
        <v>-542.5418264133466</v>
      </c>
      <c r="R13" s="33">
        <f>'Working Schedules'!M70</f>
        <v>-585.84612968571287</v>
      </c>
      <c r="S13" s="33">
        <f>'Working Schedules'!N70</f>
        <v>-630.70030348421983</v>
      </c>
      <c r="T13" s="33">
        <f>'Working Schedules'!O70</f>
        <v>-677.58456214903549</v>
      </c>
    </row>
    <row r="14" spans="1:23" ht="18" customHeight="1" x14ac:dyDescent="0.3">
      <c r="B14" s="27" t="s">
        <v>33</v>
      </c>
      <c r="C14" s="31">
        <f t="shared" ref="C14:P14" si="11">C12+C13</f>
        <v>802.79999999999961</v>
      </c>
      <c r="D14" s="31">
        <f t="shared" si="11"/>
        <v>1016.8999999999999</v>
      </c>
      <c r="E14" s="31">
        <f t="shared" si="11"/>
        <v>1179.0999999999992</v>
      </c>
      <c r="F14" s="31">
        <f t="shared" si="11"/>
        <v>1285.6999999999996</v>
      </c>
      <c r="G14" s="31">
        <f t="shared" si="11"/>
        <v>752.30000000000007</v>
      </c>
      <c r="H14" s="31">
        <f t="shared" si="11"/>
        <v>1291.3999999999999</v>
      </c>
      <c r="I14" s="31">
        <f t="shared" si="11"/>
        <v>1134</v>
      </c>
      <c r="J14" s="31">
        <f t="shared" si="11"/>
        <v>1725</v>
      </c>
      <c r="K14" s="31">
        <f t="shared" si="11"/>
        <v>1953</v>
      </c>
      <c r="L14" s="31">
        <f t="shared" si="11"/>
        <v>1990</v>
      </c>
      <c r="M14" s="31">
        <f t="shared" si="11"/>
        <v>2170.3112506157067</v>
      </c>
      <c r="N14" s="31">
        <f t="shared" si="11"/>
        <v>2433.4847989211189</v>
      </c>
      <c r="O14" s="31">
        <f t="shared" si="11"/>
        <v>2700.3359111473101</v>
      </c>
      <c r="P14" s="31">
        <f t="shared" si="11"/>
        <v>2965.1878550398446</v>
      </c>
      <c r="Q14" s="31">
        <f t="shared" ref="Q14:T14" si="12">Q12+Q13</f>
        <v>3148.0789679382733</v>
      </c>
      <c r="R14" s="31">
        <f t="shared" si="12"/>
        <v>3344.6650162987617</v>
      </c>
      <c r="S14" s="31">
        <f t="shared" si="12"/>
        <v>3555.2940669892469</v>
      </c>
      <c r="T14" s="31">
        <f t="shared" si="12"/>
        <v>3780.4994424052056</v>
      </c>
    </row>
    <row r="15" spans="1:23" ht="18" customHeight="1" x14ac:dyDescent="0.3">
      <c r="B15" t="s">
        <v>242</v>
      </c>
      <c r="C15" s="46">
        <v>105.3</v>
      </c>
      <c r="D15" s="46">
        <v>218.9</v>
      </c>
      <c r="E15" s="46">
        <v>69.2</v>
      </c>
      <c r="F15" s="46">
        <v>22</v>
      </c>
      <c r="G15" s="46">
        <v>39.6</v>
      </c>
      <c r="H15" s="46">
        <v>35.5</v>
      </c>
      <c r="I15" s="46">
        <v>73.099999999999994</v>
      </c>
      <c r="J15" s="46">
        <v>225</v>
      </c>
      <c r="K15" s="46">
        <v>336</v>
      </c>
      <c r="L15" s="46">
        <v>478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</row>
    <row r="16" spans="1:23" ht="18" customHeight="1" x14ac:dyDescent="0.3">
      <c r="B16" t="s">
        <v>7</v>
      </c>
      <c r="C16" s="46">
        <v>-368.1</v>
      </c>
      <c r="D16" s="46">
        <v>-44.5</v>
      </c>
      <c r="E16" s="46">
        <v>2.6</v>
      </c>
      <c r="F16" s="46">
        <v>66.599999999999994</v>
      </c>
      <c r="G16" s="46">
        <v>-64.3</v>
      </c>
      <c r="H16" s="46">
        <v>-165.2</v>
      </c>
      <c r="I16" s="46">
        <v>176.4</v>
      </c>
      <c r="J16" s="46">
        <v>-17</v>
      </c>
      <c r="K16" s="46">
        <v>-65</v>
      </c>
      <c r="L16" s="46">
        <v>38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</row>
    <row r="17" spans="1:20" ht="18" customHeight="1" x14ac:dyDescent="0.3">
      <c r="B17" t="s">
        <v>243</v>
      </c>
      <c r="C17" s="46">
        <v>-375.1</v>
      </c>
      <c r="D17" s="46">
        <v>-277.5</v>
      </c>
      <c r="E17" s="46">
        <v>-237.2</v>
      </c>
      <c r="F17" s="46">
        <v>-212</v>
      </c>
      <c r="G17" s="46">
        <v>-187.6</v>
      </c>
      <c r="H17" s="46">
        <v>-88</v>
      </c>
      <c r="I17" s="46">
        <v>-104</v>
      </c>
      <c r="J17" s="46">
        <v>-76</v>
      </c>
      <c r="K17" s="46">
        <v>-89</v>
      </c>
      <c r="L17" s="46">
        <v>-158</v>
      </c>
      <c r="M17" s="33">
        <f>-'Working Schedules'!H33</f>
        <v>-95.837343050000001</v>
      </c>
      <c r="N17" s="33">
        <f>-'Working Schedules'!I33</f>
        <v>-108.83715802450001</v>
      </c>
      <c r="O17" s="33">
        <f>-'Working Schedules'!J33</f>
        <v>-123.13956750745999</v>
      </c>
      <c r="P17" s="33">
        <f>-'Working Schedules'!K33</f>
        <v>-138.58163825347219</v>
      </c>
      <c r="Q17" s="33">
        <f>-'Working Schedules'!L33</f>
        <v>-155.02463292786149</v>
      </c>
      <c r="R17" s="33">
        <f>-'Working Schedules'!M33</f>
        <v>-172.45339381522064</v>
      </c>
      <c r="S17" s="33">
        <f>-'Working Schedules'!N33</f>
        <v>-190.92618372853218</v>
      </c>
      <c r="T17" s="33">
        <f>-'Working Schedules'!O33</f>
        <v>-210.5046457242621</v>
      </c>
    </row>
    <row r="18" spans="1:20" ht="18" customHeight="1" x14ac:dyDescent="0.3">
      <c r="B18" t="s">
        <v>244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91">
        <f>BS!L43*Assumptions!E9</f>
        <v>203.71</v>
      </c>
      <c r="N18" s="91">
        <f>BS!M43*Assumptions!F9</f>
        <v>197.02009995181601</v>
      </c>
      <c r="O18" s="91">
        <f>BS!N43*Assumptions!G9</f>
        <v>247.646411169527</v>
      </c>
      <c r="P18" s="91">
        <f>BS!O43*Assumptions!H9</f>
        <v>263.59934686301614</v>
      </c>
      <c r="Q18" s="91">
        <f>BS!P43*Assumptions!I9</f>
        <v>325.87270929998004</v>
      </c>
      <c r="R18" s="91">
        <f>BS!Q43*Assumptions!J9</f>
        <v>349.33898119377159</v>
      </c>
      <c r="S18" s="91">
        <f>BS!R43*Assumptions!K9</f>
        <v>417.49706371639462</v>
      </c>
      <c r="T18" s="91">
        <f>BS!S43*Assumptions!L9</f>
        <v>448.14526407481407</v>
      </c>
    </row>
    <row r="19" spans="1:20" ht="18" customHeight="1" x14ac:dyDescent="0.3">
      <c r="A19" t="s">
        <v>15</v>
      </c>
      <c r="B19" s="27" t="s">
        <v>37</v>
      </c>
      <c r="C19" s="35">
        <f>SUM(C14:C17)</f>
        <v>164.89999999999952</v>
      </c>
      <c r="D19" s="35">
        <f>SUM(D14:D17)</f>
        <v>913.8</v>
      </c>
      <c r="E19" s="35">
        <f t="shared" ref="E19:P19" si="13">SUM(E14:E18)</f>
        <v>1013.6999999999991</v>
      </c>
      <c r="F19" s="35">
        <f t="shared" si="13"/>
        <v>1162.2999999999995</v>
      </c>
      <c r="G19" s="35">
        <f t="shared" si="13"/>
        <v>540.00000000000011</v>
      </c>
      <c r="H19" s="35">
        <f t="shared" si="13"/>
        <v>1073.6999999999998</v>
      </c>
      <c r="I19" s="35">
        <f t="shared" si="13"/>
        <v>1279.5</v>
      </c>
      <c r="J19" s="35">
        <f t="shared" si="13"/>
        <v>1857</v>
      </c>
      <c r="K19" s="35">
        <f t="shared" si="13"/>
        <v>2135</v>
      </c>
      <c r="L19" s="35">
        <f t="shared" si="13"/>
        <v>2348</v>
      </c>
      <c r="M19" s="35">
        <f t="shared" si="13"/>
        <v>2278.1839075657067</v>
      </c>
      <c r="N19" s="35">
        <f t="shared" si="13"/>
        <v>2521.6677408484352</v>
      </c>
      <c r="O19" s="35">
        <f t="shared" si="13"/>
        <v>2824.8427548093769</v>
      </c>
      <c r="P19" s="35">
        <f t="shared" si="13"/>
        <v>3090.2055636493888</v>
      </c>
      <c r="Q19" s="35">
        <f t="shared" ref="Q19:T19" si="14">SUM(Q14:Q18)</f>
        <v>3318.9270443103919</v>
      </c>
      <c r="R19" s="35">
        <f t="shared" si="14"/>
        <v>3521.5506036773122</v>
      </c>
      <c r="S19" s="35">
        <f t="shared" si="14"/>
        <v>3781.8649469771094</v>
      </c>
      <c r="T19" s="35">
        <f t="shared" si="14"/>
        <v>4018.1400607557575</v>
      </c>
    </row>
    <row r="20" spans="1:20" ht="18" customHeight="1" x14ac:dyDescent="0.3">
      <c r="B20" t="s">
        <v>26</v>
      </c>
      <c r="C20" s="46">
        <v>-69.7</v>
      </c>
      <c r="D20" s="46">
        <v>-259.89999999999998</v>
      </c>
      <c r="E20" s="46">
        <v>-328.1</v>
      </c>
      <c r="F20" s="46">
        <v>-539.70000000000005</v>
      </c>
      <c r="G20" s="46">
        <v>-177.9</v>
      </c>
      <c r="H20" s="46">
        <v>-276</v>
      </c>
      <c r="I20" s="46">
        <v>-153</v>
      </c>
      <c r="J20" s="46">
        <v>-449</v>
      </c>
      <c r="K20" s="46">
        <v>-553</v>
      </c>
      <c r="L20" s="46">
        <v>-510</v>
      </c>
      <c r="M20" s="32">
        <f>-M19*Assumptions!E10</f>
        <v>-569.54597689142668</v>
      </c>
      <c r="N20" s="32">
        <f>-N19*Assumptions!F10</f>
        <v>-630.4169352121088</v>
      </c>
      <c r="O20" s="32">
        <f>-O19*Assumptions!G10</f>
        <v>-706.21068870234421</v>
      </c>
      <c r="P20" s="32">
        <f>-P19*Assumptions!H10</f>
        <v>-772.55139091234719</v>
      </c>
      <c r="Q20" s="32">
        <f>-Q19*Assumptions!I10</f>
        <v>-829.73176107759798</v>
      </c>
      <c r="R20" s="32">
        <f>-R19*Assumptions!J10</f>
        <v>-880.38765091932805</v>
      </c>
      <c r="S20" s="32">
        <f>-S19*Assumptions!K10</f>
        <v>-945.46623674427735</v>
      </c>
      <c r="T20" s="32">
        <f>-T19*Assumptions!L10</f>
        <v>-1004.5350151889394</v>
      </c>
    </row>
    <row r="21" spans="1:20" ht="18" customHeight="1" x14ac:dyDescent="0.3">
      <c r="B21" t="s">
        <v>245</v>
      </c>
      <c r="C21" s="46">
        <v>-2.1999999999995197</v>
      </c>
      <c r="D21" s="46">
        <v>-2</v>
      </c>
      <c r="E21" s="46">
        <v>-1.9999999999990905</v>
      </c>
      <c r="F21" s="46">
        <v>-1.9999999999994316</v>
      </c>
      <c r="G21" s="46">
        <v>0</v>
      </c>
      <c r="H21" s="46">
        <v>12.900000000000205</v>
      </c>
      <c r="I21" s="46">
        <v>-0.70000000000004547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</row>
    <row r="22" spans="1:20" ht="18" customHeight="1" thickBot="1" x14ac:dyDescent="0.35">
      <c r="A22" t="s">
        <v>15</v>
      </c>
      <c r="B22" s="10" t="s">
        <v>38</v>
      </c>
      <c r="C22" s="36">
        <f>SUM(C19:C21)</f>
        <v>93</v>
      </c>
      <c r="D22" s="36">
        <f t="shared" ref="D22:L22" si="15">SUM(D19:D21)</f>
        <v>651.9</v>
      </c>
      <c r="E22" s="36">
        <f t="shared" si="15"/>
        <v>683.6</v>
      </c>
      <c r="F22" s="36">
        <f t="shared" si="15"/>
        <v>620.6</v>
      </c>
      <c r="G22" s="36">
        <f t="shared" si="15"/>
        <v>362.10000000000014</v>
      </c>
      <c r="H22" s="36">
        <f t="shared" si="15"/>
        <v>810.6</v>
      </c>
      <c r="I22" s="36">
        <f t="shared" si="15"/>
        <v>1125.8</v>
      </c>
      <c r="J22" s="36">
        <f t="shared" si="15"/>
        <v>1408</v>
      </c>
      <c r="K22" s="36">
        <f t="shared" si="15"/>
        <v>1582</v>
      </c>
      <c r="L22" s="36">
        <f t="shared" si="15"/>
        <v>1838</v>
      </c>
      <c r="M22" s="36">
        <f t="shared" ref="M22:P22" si="16">M19+M20</f>
        <v>1708.6379306742801</v>
      </c>
      <c r="N22" s="36">
        <f t="shared" si="16"/>
        <v>1891.2508056363263</v>
      </c>
      <c r="O22" s="36">
        <f t="shared" si="16"/>
        <v>2118.6320661070326</v>
      </c>
      <c r="P22" s="36">
        <f t="shared" si="16"/>
        <v>2317.6541727370413</v>
      </c>
      <c r="Q22" s="36">
        <f t="shared" ref="Q22:T22" si="17">Q19+Q20</f>
        <v>2489.1952832327938</v>
      </c>
      <c r="R22" s="36">
        <f t="shared" si="17"/>
        <v>2641.1629527579844</v>
      </c>
      <c r="S22" s="36">
        <f t="shared" si="17"/>
        <v>2836.3987102328319</v>
      </c>
      <c r="T22" s="36">
        <f t="shared" si="17"/>
        <v>3013.6050455668183</v>
      </c>
    </row>
    <row r="23" spans="1:20" ht="18" customHeight="1" thickTop="1" x14ac:dyDescent="0.3">
      <c r="D23" s="12"/>
      <c r="E23" s="12"/>
      <c r="F23" s="12"/>
      <c r="G23" s="12"/>
      <c r="H23" s="12"/>
      <c r="I23" s="12"/>
      <c r="J23" s="12"/>
      <c r="K23" s="12"/>
      <c r="L23" s="12"/>
      <c r="M23" s="7"/>
    </row>
    <row r="25" spans="1:20" ht="18" customHeight="1" x14ac:dyDescent="0.3">
      <c r="C25" s="95"/>
      <c r="D25" s="95"/>
      <c r="E25" s="95"/>
      <c r="F25" s="95"/>
      <c r="G25" s="95"/>
      <c r="H25" s="95"/>
      <c r="I25" s="95"/>
      <c r="J25" s="95"/>
      <c r="K25" s="95"/>
      <c r="L25" s="156"/>
      <c r="M25" s="156"/>
      <c r="N25" s="156"/>
    </row>
    <row r="26" spans="1:20" ht="18" customHeight="1" x14ac:dyDescent="0.3"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20" ht="18" customHeight="1" x14ac:dyDescent="0.3"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20" ht="18" customHeight="1" x14ac:dyDescent="0.3">
      <c r="L28" s="32"/>
    </row>
    <row r="37" spans="3:3" ht="18" customHeight="1" x14ac:dyDescent="0.3">
      <c r="C37" s="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5311-D682-4204-9ACC-21B5C38B7798}">
  <dimension ref="A1:T49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8" customHeight="1" x14ac:dyDescent="0.3"/>
  <cols>
    <col min="1" max="1" width="2.77734375" style="7" customWidth="1"/>
    <col min="2" max="2" width="50.77734375" customWidth="1"/>
    <col min="3" max="16" width="10.77734375" style="32" customWidth="1"/>
    <col min="17" max="19" width="9.88671875" bestFit="1" customWidth="1"/>
    <col min="20" max="20" width="9.44140625" bestFit="1" customWidth="1"/>
  </cols>
  <sheetData>
    <row r="1" spans="1:20" ht="18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20" ht="18" customHeight="1" x14ac:dyDescent="0.4">
      <c r="B2" s="45" t="s">
        <v>198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T2" s="246" t="str">
        <f>PL!T2</f>
        <v>CURRENTLY RUNNING: BASE SCENARIO</v>
      </c>
    </row>
    <row r="3" spans="1:20" ht="18" customHeight="1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20" ht="18" customHeight="1" x14ac:dyDescent="0.3"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0" ht="18" customHeigh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20" ht="18" customHeight="1" x14ac:dyDescent="0.35">
      <c r="A6" s="7" t="s">
        <v>15</v>
      </c>
      <c r="B6" s="42" t="s">
        <v>199</v>
      </c>
      <c r="Q6" s="32"/>
      <c r="R6" s="32"/>
      <c r="S6" s="32"/>
      <c r="T6" s="32"/>
    </row>
    <row r="7" spans="1:20" ht="18" customHeight="1" x14ac:dyDescent="0.3">
      <c r="B7" s="1" t="s">
        <v>203</v>
      </c>
      <c r="Q7" s="32"/>
      <c r="R7" s="32"/>
      <c r="S7" s="32"/>
      <c r="T7" s="32"/>
    </row>
    <row r="8" spans="1:20" ht="18" customHeight="1" x14ac:dyDescent="0.3">
      <c r="B8" s="2" t="s">
        <v>200</v>
      </c>
      <c r="C8" s="46">
        <v>145.30000000000001</v>
      </c>
      <c r="D8" s="46">
        <v>145.30000000000001</v>
      </c>
      <c r="E8" s="46">
        <v>145.30000000000001</v>
      </c>
      <c r="F8" s="46">
        <v>145.30000000000001</v>
      </c>
      <c r="G8" s="46">
        <v>145.30000000000001</v>
      </c>
      <c r="H8" s="46">
        <v>145.30000000000001</v>
      </c>
      <c r="I8" s="46">
        <v>145.5</v>
      </c>
      <c r="J8" s="46">
        <v>145</v>
      </c>
      <c r="K8" s="46">
        <v>145</v>
      </c>
      <c r="L8" s="46">
        <v>145</v>
      </c>
      <c r="M8" s="33">
        <f>L8</f>
        <v>145</v>
      </c>
      <c r="N8" s="33">
        <f t="shared" ref="N8:P8" si="5">M8</f>
        <v>145</v>
      </c>
      <c r="O8" s="33">
        <f t="shared" si="5"/>
        <v>145</v>
      </c>
      <c r="P8" s="33">
        <f t="shared" si="5"/>
        <v>145</v>
      </c>
      <c r="Q8" s="33">
        <f t="shared" ref="Q8" si="6">P8</f>
        <v>145</v>
      </c>
      <c r="R8" s="33">
        <f t="shared" ref="R8" si="7">Q8</f>
        <v>145</v>
      </c>
      <c r="S8" s="33">
        <f t="shared" ref="S8" si="8">R8</f>
        <v>145</v>
      </c>
      <c r="T8" s="33">
        <f t="shared" ref="T8" si="9">S8</f>
        <v>145</v>
      </c>
    </row>
    <row r="9" spans="1:20" ht="18" customHeight="1" x14ac:dyDescent="0.3">
      <c r="B9" s="2" t="s">
        <v>201</v>
      </c>
      <c r="C9" s="46">
        <v>1640.3</v>
      </c>
      <c r="D9" s="46">
        <v>2273.8000000000002</v>
      </c>
      <c r="E9" s="46">
        <v>2945</v>
      </c>
      <c r="F9" s="46">
        <v>3582.7</v>
      </c>
      <c r="G9" s="46">
        <v>3974.5</v>
      </c>
      <c r="H9" s="46">
        <v>4808.3999999999996</v>
      </c>
      <c r="I9" s="46">
        <v>5854</v>
      </c>
      <c r="J9" s="46">
        <v>6976</v>
      </c>
      <c r="K9" s="46">
        <v>7959</v>
      </c>
      <c r="L9" s="46">
        <v>8808</v>
      </c>
      <c r="M9" s="32">
        <f>L9+PL!M22*(1-Assumptions!E11)</f>
        <v>9371.8505171225115</v>
      </c>
      <c r="N9" s="32">
        <f>M9+PL!N22*(1-Assumptions!F11)</f>
        <v>9995.9632829824986</v>
      </c>
      <c r="O9" s="32">
        <f>N9+PL!O22*(1-Assumptions!G11)</f>
        <v>10695.11186479782</v>
      </c>
      <c r="P9" s="32">
        <f>O9+PL!P22*(1-Assumptions!H11)</f>
        <v>11459.937741801044</v>
      </c>
      <c r="Q9" s="32">
        <f>P9+PL!Q22*(1-Assumptions!I11)</f>
        <v>12281.372185267866</v>
      </c>
      <c r="R9" s="32">
        <f>Q9+PL!R22*(1-Assumptions!J11)</f>
        <v>13152.955959678002</v>
      </c>
      <c r="S9" s="32">
        <f>R9+PL!S22*(1-Assumptions!K11)</f>
        <v>14088.967534054837</v>
      </c>
      <c r="T9" s="32">
        <f>S9+PL!T22*(1-Assumptions!L11)</f>
        <v>15083.457199091887</v>
      </c>
    </row>
    <row r="10" spans="1:20" ht="18" customHeight="1" x14ac:dyDescent="0.3">
      <c r="B10" s="3" t="s">
        <v>202</v>
      </c>
      <c r="C10" s="30">
        <f t="shared" ref="C10:T10" si="10">SUM(C8:C9)</f>
        <v>1785.6</v>
      </c>
      <c r="D10" s="30">
        <f t="shared" si="10"/>
        <v>2419.1000000000004</v>
      </c>
      <c r="E10" s="30">
        <f t="shared" si="10"/>
        <v>3090.3</v>
      </c>
      <c r="F10" s="30">
        <f t="shared" si="10"/>
        <v>3728</v>
      </c>
      <c r="G10" s="30">
        <f t="shared" si="10"/>
        <v>4119.8</v>
      </c>
      <c r="H10" s="30">
        <f t="shared" si="10"/>
        <v>4953.7</v>
      </c>
      <c r="I10" s="30">
        <f t="shared" si="10"/>
        <v>5999.5</v>
      </c>
      <c r="J10" s="30">
        <f t="shared" si="10"/>
        <v>7121</v>
      </c>
      <c r="K10" s="30">
        <f t="shared" si="10"/>
        <v>8104</v>
      </c>
      <c r="L10" s="30">
        <f t="shared" si="10"/>
        <v>8953</v>
      </c>
      <c r="M10" s="30">
        <f t="shared" si="10"/>
        <v>9516.8505171225115</v>
      </c>
      <c r="N10" s="30">
        <f t="shared" si="10"/>
        <v>10140.963282982499</v>
      </c>
      <c r="O10" s="30">
        <f t="shared" si="10"/>
        <v>10840.11186479782</v>
      </c>
      <c r="P10" s="30">
        <f t="shared" si="10"/>
        <v>11604.937741801044</v>
      </c>
      <c r="Q10" s="30">
        <f t="shared" si="10"/>
        <v>12426.372185267866</v>
      </c>
      <c r="R10" s="30">
        <f t="shared" si="10"/>
        <v>13297.955959678002</v>
      </c>
      <c r="S10" s="30">
        <f t="shared" si="10"/>
        <v>14233.967534054837</v>
      </c>
      <c r="T10" s="30">
        <f t="shared" si="10"/>
        <v>15228.457199091887</v>
      </c>
    </row>
    <row r="11" spans="1:20" ht="18" customHeight="1" x14ac:dyDescent="0.3">
      <c r="Q11" s="32"/>
      <c r="R11" s="32"/>
      <c r="S11" s="32"/>
      <c r="T11" s="32"/>
    </row>
    <row r="12" spans="1:20" ht="18" customHeight="1" x14ac:dyDescent="0.3">
      <c r="A12" s="7" t="s">
        <v>15</v>
      </c>
      <c r="B12" s="1" t="s">
        <v>204</v>
      </c>
      <c r="Q12" s="32"/>
      <c r="R12" s="32"/>
      <c r="S12" s="32"/>
      <c r="T12" s="32"/>
    </row>
    <row r="13" spans="1:20" ht="18" customHeight="1" x14ac:dyDescent="0.3">
      <c r="B13" s="2" t="s">
        <v>9</v>
      </c>
      <c r="C13" s="46">
        <v>869.7</v>
      </c>
      <c r="D13" s="46">
        <v>762.8</v>
      </c>
      <c r="E13" s="46">
        <v>780.4</v>
      </c>
      <c r="F13" s="46">
        <v>14.7</v>
      </c>
      <c r="G13" s="46">
        <v>2.2000000000000002</v>
      </c>
      <c r="H13" s="46">
        <v>0.9</v>
      </c>
      <c r="I13" s="46">
        <v>0.3</v>
      </c>
      <c r="J13" s="46">
        <v>0</v>
      </c>
      <c r="K13" s="46">
        <v>0</v>
      </c>
      <c r="L13" s="46">
        <v>0</v>
      </c>
      <c r="M13" s="33">
        <f>L13</f>
        <v>0</v>
      </c>
      <c r="N13" s="33">
        <f t="shared" ref="N13:P13" si="11">M13</f>
        <v>0</v>
      </c>
      <c r="O13" s="33">
        <f t="shared" si="11"/>
        <v>0</v>
      </c>
      <c r="P13" s="33">
        <f t="shared" si="11"/>
        <v>0</v>
      </c>
      <c r="Q13" s="33">
        <f t="shared" ref="Q13:Q14" si="12">P13</f>
        <v>0</v>
      </c>
      <c r="R13" s="33">
        <f t="shared" ref="R13:R14" si="13">Q13</f>
        <v>0</v>
      </c>
      <c r="S13" s="33">
        <f t="shared" ref="S13:S14" si="14">R13</f>
        <v>0</v>
      </c>
      <c r="T13" s="33">
        <f t="shared" ref="T13:T14" si="15">S13</f>
        <v>0</v>
      </c>
    </row>
    <row r="14" spans="1:20" ht="18" customHeight="1" x14ac:dyDescent="0.3">
      <c r="B14" s="2" t="s">
        <v>10</v>
      </c>
      <c r="C14" s="46">
        <v>0</v>
      </c>
      <c r="D14" s="46">
        <v>0</v>
      </c>
      <c r="E14" s="46">
        <v>0</v>
      </c>
      <c r="F14" s="46">
        <v>7.6</v>
      </c>
      <c r="G14" s="46">
        <v>26.1</v>
      </c>
      <c r="H14" s="46">
        <v>48.3</v>
      </c>
      <c r="I14" s="46">
        <v>45.1</v>
      </c>
      <c r="J14" s="46">
        <v>73</v>
      </c>
      <c r="K14" s="46">
        <v>72</v>
      </c>
      <c r="L14" s="46">
        <v>18</v>
      </c>
      <c r="M14" s="33">
        <f>L14</f>
        <v>18</v>
      </c>
      <c r="N14" s="33">
        <f t="shared" ref="N14:P14" si="16">M14</f>
        <v>18</v>
      </c>
      <c r="O14" s="33">
        <f t="shared" si="16"/>
        <v>18</v>
      </c>
      <c r="P14" s="33">
        <f t="shared" si="16"/>
        <v>18</v>
      </c>
      <c r="Q14" s="33">
        <f t="shared" si="12"/>
        <v>18</v>
      </c>
      <c r="R14" s="33">
        <f t="shared" si="13"/>
        <v>18</v>
      </c>
      <c r="S14" s="33">
        <f t="shared" si="14"/>
        <v>18</v>
      </c>
      <c r="T14" s="33">
        <f t="shared" si="15"/>
        <v>18</v>
      </c>
    </row>
    <row r="15" spans="1:20" ht="18" customHeight="1" x14ac:dyDescent="0.3">
      <c r="B15" s="2" t="s">
        <v>205</v>
      </c>
      <c r="C15" s="46">
        <v>13.5</v>
      </c>
      <c r="D15" s="46">
        <v>7</v>
      </c>
      <c r="E15" s="46">
        <v>23.9</v>
      </c>
      <c r="F15" s="46">
        <v>196.5</v>
      </c>
      <c r="G15" s="46">
        <v>157.80000000000001</v>
      </c>
      <c r="H15" s="46">
        <v>263.89999999999998</v>
      </c>
      <c r="I15" s="46">
        <v>182.4</v>
      </c>
      <c r="J15" s="46">
        <v>240.4</v>
      </c>
      <c r="K15" s="46">
        <v>480</v>
      </c>
      <c r="L15" s="46">
        <v>407</v>
      </c>
      <c r="M15" s="33">
        <f>'Working Schedules'!H22</f>
        <v>552.87865999999997</v>
      </c>
      <c r="N15" s="33">
        <f>'Working Schedules'!I22</f>
        <v>713.87799939999991</v>
      </c>
      <c r="O15" s="33">
        <f>'Working Schedules'!J22</f>
        <v>889.40594195199981</v>
      </c>
      <c r="P15" s="33">
        <f>'Working Schedules'!K22</f>
        <v>1077.2208404826397</v>
      </c>
      <c r="Q15" s="33">
        <f>'Working Schedules'!L22</f>
        <v>1276.2999342905714</v>
      </c>
      <c r="R15" s="33">
        <f>'Working Schedules'!M22</f>
        <v>1487.3093319499144</v>
      </c>
      <c r="S15" s="33">
        <f>'Working Schedules'!N22</f>
        <v>1710.9538146037835</v>
      </c>
      <c r="T15" s="33">
        <f>'Working Schedules'!O22</f>
        <v>1947.9790259670895</v>
      </c>
    </row>
    <row r="16" spans="1:20" ht="18" customHeight="1" x14ac:dyDescent="0.3">
      <c r="B16" s="3" t="s">
        <v>11</v>
      </c>
      <c r="C16" s="30">
        <f t="shared" ref="C16:L16" si="17">SUM(C13:C15)</f>
        <v>883.2</v>
      </c>
      <c r="D16" s="30">
        <f t="shared" si="17"/>
        <v>769.8</v>
      </c>
      <c r="E16" s="30">
        <f t="shared" si="17"/>
        <v>804.3</v>
      </c>
      <c r="F16" s="30">
        <f t="shared" si="17"/>
        <v>218.8</v>
      </c>
      <c r="G16" s="30">
        <f t="shared" si="17"/>
        <v>186.10000000000002</v>
      </c>
      <c r="H16" s="30">
        <f t="shared" si="17"/>
        <v>313.09999999999997</v>
      </c>
      <c r="I16" s="30">
        <f t="shared" si="17"/>
        <v>227.8</v>
      </c>
      <c r="J16" s="30">
        <f t="shared" si="17"/>
        <v>313.39999999999998</v>
      </c>
      <c r="K16" s="30">
        <f t="shared" si="17"/>
        <v>552</v>
      </c>
      <c r="L16" s="30">
        <f t="shared" si="17"/>
        <v>425</v>
      </c>
      <c r="M16" s="30">
        <f t="shared" ref="M16:P16" si="18">SUM(M13:M15)</f>
        <v>570.87865999999997</v>
      </c>
      <c r="N16" s="30">
        <f t="shared" si="18"/>
        <v>731.87799939999991</v>
      </c>
      <c r="O16" s="30">
        <f t="shared" si="18"/>
        <v>907.40594195199981</v>
      </c>
      <c r="P16" s="30">
        <f t="shared" si="18"/>
        <v>1095.2208404826397</v>
      </c>
      <c r="Q16" s="30">
        <f t="shared" ref="Q16:T16" si="19">SUM(Q13:Q15)</f>
        <v>1294.2999342905714</v>
      </c>
      <c r="R16" s="30">
        <f t="shared" si="19"/>
        <v>1505.3093319499144</v>
      </c>
      <c r="S16" s="30">
        <f t="shared" si="19"/>
        <v>1728.9538146037835</v>
      </c>
      <c r="T16" s="30">
        <f t="shared" si="19"/>
        <v>1965.9790259670895</v>
      </c>
    </row>
    <row r="17" spans="1:20" ht="18" customHeight="1" x14ac:dyDescent="0.3">
      <c r="B17" s="3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18" customHeight="1" x14ac:dyDescent="0.3">
      <c r="A18" s="7" t="s">
        <v>15</v>
      </c>
      <c r="B18" s="5" t="s">
        <v>206</v>
      </c>
      <c r="Q18" s="32"/>
      <c r="R18" s="32"/>
      <c r="S18" s="32"/>
      <c r="T18" s="32"/>
    </row>
    <row r="19" spans="1:20" ht="18" customHeight="1" x14ac:dyDescent="0.3">
      <c r="B19" s="2" t="s">
        <v>0</v>
      </c>
      <c r="C19" s="46">
        <v>1224.7</v>
      </c>
      <c r="D19" s="46">
        <v>1455.1</v>
      </c>
      <c r="E19" s="46">
        <v>1408.3</v>
      </c>
      <c r="F19" s="46">
        <v>1199.4000000000001</v>
      </c>
      <c r="G19" s="46">
        <v>1417.2</v>
      </c>
      <c r="H19" s="46">
        <v>1582.1</v>
      </c>
      <c r="I19" s="46">
        <v>1782.5</v>
      </c>
      <c r="J19" s="46">
        <v>1954</v>
      </c>
      <c r="K19" s="46">
        <v>2239</v>
      </c>
      <c r="L19" s="46">
        <v>2383</v>
      </c>
      <c r="M19" s="33">
        <f>'Working Capital Schedule'!M15</f>
        <v>1837.4176460273966</v>
      </c>
      <c r="N19" s="33">
        <f>'Working Capital Schedule'!N15</f>
        <v>2720.6334116821927</v>
      </c>
      <c r="O19" s="33">
        <f>'Working Capital Schedule'!O15</f>
        <v>2156.4812200670676</v>
      </c>
      <c r="P19" s="33">
        <f>'Working Capital Schedule'!P15</f>
        <v>3013.2602895871487</v>
      </c>
      <c r="Q19" s="33">
        <f>'Working Capital Schedule'!Q15</f>
        <v>2492.5144181945925</v>
      </c>
      <c r="R19" s="33">
        <f>'Working Capital Schedule'!R15</f>
        <v>3371.1356455929617</v>
      </c>
      <c r="S19" s="33">
        <f>'Working Capital Schedule'!S15</f>
        <v>2873.6516723407813</v>
      </c>
      <c r="T19" s="33">
        <f>'Working Capital Schedule'!T15</f>
        <v>3777.0468212586547</v>
      </c>
    </row>
    <row r="20" spans="1:20" ht="18" customHeight="1" x14ac:dyDescent="0.3">
      <c r="B20" s="2" t="s">
        <v>12</v>
      </c>
      <c r="C20" s="46">
        <v>2906.9</v>
      </c>
      <c r="D20" s="46">
        <v>2301.3000000000002</v>
      </c>
      <c r="E20" s="46">
        <v>2089.4</v>
      </c>
      <c r="F20" s="46">
        <v>1606</v>
      </c>
      <c r="G20" s="46">
        <v>874.5</v>
      </c>
      <c r="H20" s="46">
        <v>340.8</v>
      </c>
      <c r="I20" s="46">
        <v>0.8</v>
      </c>
      <c r="J20" s="46">
        <v>25</v>
      </c>
      <c r="K20" s="46">
        <v>0</v>
      </c>
      <c r="L20" s="46">
        <v>6</v>
      </c>
      <c r="M20" s="33">
        <f>L20</f>
        <v>6</v>
      </c>
      <c r="N20" s="33">
        <f t="shared" ref="N20:P20" si="20">M20</f>
        <v>6</v>
      </c>
      <c r="O20" s="33">
        <f t="shared" si="20"/>
        <v>6</v>
      </c>
      <c r="P20" s="33">
        <f t="shared" si="20"/>
        <v>6</v>
      </c>
      <c r="Q20" s="33">
        <f t="shared" ref="Q20" si="21">P20</f>
        <v>6</v>
      </c>
      <c r="R20" s="33">
        <f t="shared" ref="R20" si="22">Q20</f>
        <v>6</v>
      </c>
      <c r="S20" s="33">
        <f t="shared" ref="S20" si="23">R20</f>
        <v>6</v>
      </c>
      <c r="T20" s="33">
        <f t="shared" ref="T20" si="24">S20</f>
        <v>6</v>
      </c>
    </row>
    <row r="21" spans="1:20" ht="18" customHeight="1" x14ac:dyDescent="0.3">
      <c r="B21" s="2" t="s">
        <v>207</v>
      </c>
      <c r="C21" s="46">
        <v>319.39999999999998</v>
      </c>
      <c r="D21" s="46">
        <v>361.90000000000003</v>
      </c>
      <c r="E21" s="46">
        <v>399.2</v>
      </c>
      <c r="F21" s="46">
        <v>462.09999999999997</v>
      </c>
      <c r="G21" s="46">
        <v>583.4</v>
      </c>
      <c r="H21" s="46">
        <v>502.9</v>
      </c>
      <c r="I21" s="46">
        <v>385.40000000000003</v>
      </c>
      <c r="J21" s="46">
        <v>383</v>
      </c>
      <c r="K21" s="46">
        <v>391</v>
      </c>
      <c r="L21" s="46">
        <v>541</v>
      </c>
      <c r="M21" s="32">
        <f>Assumptions!E23*PL!M5</f>
        <v>597.91732000000002</v>
      </c>
      <c r="N21" s="32">
        <f>Assumptions!F23*PL!N5</f>
        <v>651.72987880000005</v>
      </c>
      <c r="O21" s="32">
        <f>Assumptions!G23*PL!O5</f>
        <v>703.86826910400009</v>
      </c>
      <c r="P21" s="32">
        <f>Assumptions!H23*PL!P5</f>
        <v>753.13904794128007</v>
      </c>
      <c r="Q21" s="32">
        <f>Assumptions!I23*PL!Q5</f>
        <v>802.09308605746332</v>
      </c>
      <c r="R21" s="32">
        <f>Assumptions!J23*PL!R5</f>
        <v>854.22913665119836</v>
      </c>
      <c r="S21" s="32">
        <f>Assumptions!K23*PL!S5</f>
        <v>909.75403053352613</v>
      </c>
      <c r="T21" s="32">
        <f>Assumptions!L23*PL!T5</f>
        <v>968.88804251820522</v>
      </c>
    </row>
    <row r="22" spans="1:20" ht="18" customHeight="1" x14ac:dyDescent="0.3">
      <c r="B22" s="2" t="s">
        <v>13</v>
      </c>
      <c r="C22" s="46">
        <v>1776.1000000000013</v>
      </c>
      <c r="D22" s="46">
        <v>1649.0999999999985</v>
      </c>
      <c r="E22" s="46">
        <v>1317.4000000000005</v>
      </c>
      <c r="F22" s="46">
        <v>1637</v>
      </c>
      <c r="G22" s="46">
        <v>1356</v>
      </c>
      <c r="H22" s="46">
        <v>1218.6999999999998</v>
      </c>
      <c r="I22" s="46">
        <v>1365.5</v>
      </c>
      <c r="J22" s="46">
        <v>1452.6</v>
      </c>
      <c r="K22" s="46">
        <v>1962</v>
      </c>
      <c r="L22" s="46">
        <v>2161</v>
      </c>
      <c r="M22" s="32">
        <f>Assumptions!E24*PL!M5</f>
        <v>2174.2447999999999</v>
      </c>
      <c r="N22" s="32">
        <f>Assumptions!F24*PL!N5</f>
        <v>2369.9268320000006</v>
      </c>
      <c r="O22" s="32">
        <f>Assumptions!G24*PL!O5</f>
        <v>2559.5209785600005</v>
      </c>
      <c r="P22" s="32">
        <f>Assumptions!H24*PL!P5</f>
        <v>2738.6874470592006</v>
      </c>
      <c r="Q22" s="32">
        <f>Assumptions!I24*PL!Q5</f>
        <v>2916.7021311180488</v>
      </c>
      <c r="R22" s="32">
        <f>Assumptions!J24*PL!R5</f>
        <v>3106.2877696407213</v>
      </c>
      <c r="S22" s="32">
        <f>Assumptions!K24*PL!S5</f>
        <v>3308.196474667368</v>
      </c>
      <c r="T22" s="32">
        <f>Assumptions!L24*PL!T5</f>
        <v>3523.2292455207462</v>
      </c>
    </row>
    <row r="23" spans="1:20" ht="18" customHeight="1" x14ac:dyDescent="0.3">
      <c r="B23" s="3" t="s">
        <v>1</v>
      </c>
      <c r="C23" s="30">
        <f>SUM(C19:C22)</f>
        <v>6227.1000000000013</v>
      </c>
      <c r="D23" s="30">
        <f t="shared" ref="D23:L23" si="25">SUM(D19:D22)</f>
        <v>5767.3999999999987</v>
      </c>
      <c r="E23" s="30">
        <f t="shared" si="25"/>
        <v>5214.3</v>
      </c>
      <c r="F23" s="30">
        <f t="shared" si="25"/>
        <v>4904.5</v>
      </c>
      <c r="G23" s="30">
        <f t="shared" si="25"/>
        <v>4231.1000000000004</v>
      </c>
      <c r="H23" s="30">
        <f t="shared" si="25"/>
        <v>3644.4999999999995</v>
      </c>
      <c r="I23" s="30">
        <f t="shared" si="25"/>
        <v>3534.2</v>
      </c>
      <c r="J23" s="30">
        <f t="shared" si="25"/>
        <v>3814.6</v>
      </c>
      <c r="K23" s="30">
        <f t="shared" si="25"/>
        <v>4592</v>
      </c>
      <c r="L23" s="30">
        <f t="shared" si="25"/>
        <v>5091</v>
      </c>
      <c r="M23" s="30">
        <f t="shared" ref="M23" si="26">SUM(M19:M22)</f>
        <v>4615.5797660273965</v>
      </c>
      <c r="N23" s="30">
        <f t="shared" ref="N23" si="27">SUM(N19:N22)</f>
        <v>5748.2901224821926</v>
      </c>
      <c r="O23" s="30">
        <f t="shared" ref="O23" si="28">SUM(O19:O22)</f>
        <v>5425.8704677310689</v>
      </c>
      <c r="P23" s="30">
        <f t="shared" ref="P23:T23" si="29">SUM(P19:P22)</f>
        <v>6511.0867845876292</v>
      </c>
      <c r="Q23" s="30">
        <f t="shared" si="29"/>
        <v>6217.3096353701048</v>
      </c>
      <c r="R23" s="30">
        <f t="shared" si="29"/>
        <v>7337.6525518848812</v>
      </c>
      <c r="S23" s="30">
        <f t="shared" si="29"/>
        <v>7097.6021775416757</v>
      </c>
      <c r="T23" s="30">
        <f t="shared" si="29"/>
        <v>8275.164109297606</v>
      </c>
    </row>
    <row r="24" spans="1:20" ht="18" customHeight="1" x14ac:dyDescent="0.3">
      <c r="Q24" s="32"/>
      <c r="R24" s="32"/>
      <c r="S24" s="32"/>
      <c r="T24" s="32"/>
    </row>
    <row r="25" spans="1:20" ht="18" customHeight="1" x14ac:dyDescent="0.3">
      <c r="A25" s="7" t="s">
        <v>15</v>
      </c>
      <c r="B25" s="1" t="s">
        <v>208</v>
      </c>
      <c r="C25" s="30">
        <f t="shared" ref="C25:L25" si="30">C10+C16+C23</f>
        <v>8895.9000000000015</v>
      </c>
      <c r="D25" s="30">
        <f t="shared" si="30"/>
        <v>8956.2999999999993</v>
      </c>
      <c r="E25" s="30">
        <f t="shared" si="30"/>
        <v>9108.9000000000015</v>
      </c>
      <c r="F25" s="30">
        <f t="shared" si="30"/>
        <v>8851.2999999999993</v>
      </c>
      <c r="G25" s="30">
        <f t="shared" si="30"/>
        <v>8537</v>
      </c>
      <c r="H25" s="30">
        <f t="shared" si="30"/>
        <v>8911.2999999999993</v>
      </c>
      <c r="I25" s="30">
        <f t="shared" si="30"/>
        <v>9761.5</v>
      </c>
      <c r="J25" s="30">
        <f t="shared" si="30"/>
        <v>11249</v>
      </c>
      <c r="K25" s="30">
        <f t="shared" si="30"/>
        <v>13248</v>
      </c>
      <c r="L25" s="30">
        <f t="shared" si="30"/>
        <v>14469</v>
      </c>
      <c r="M25" s="30">
        <f>M10+M16+M23</f>
        <v>14703.308943149908</v>
      </c>
      <c r="N25" s="30">
        <f t="shared" ref="N25:P25" si="31">N10+N16+N23</f>
        <v>16621.131404864689</v>
      </c>
      <c r="O25" s="30">
        <f t="shared" si="31"/>
        <v>17173.388274480887</v>
      </c>
      <c r="P25" s="30">
        <f t="shared" si="31"/>
        <v>19211.245366871313</v>
      </c>
      <c r="Q25" s="30">
        <f t="shared" ref="Q25:T25" si="32">Q10+Q16+Q23</f>
        <v>19937.981754928544</v>
      </c>
      <c r="R25" s="30">
        <f t="shared" si="32"/>
        <v>22140.917843512798</v>
      </c>
      <c r="S25" s="30">
        <f t="shared" si="32"/>
        <v>23060.523526200297</v>
      </c>
      <c r="T25" s="30">
        <f t="shared" si="32"/>
        <v>25469.600334356583</v>
      </c>
    </row>
    <row r="26" spans="1:20" ht="18" customHeight="1" x14ac:dyDescent="0.3">
      <c r="Q26" s="32"/>
      <c r="R26" s="32"/>
      <c r="S26" s="32"/>
      <c r="T26" s="32"/>
    </row>
    <row r="27" spans="1:20" ht="18" customHeight="1" x14ac:dyDescent="0.35">
      <c r="B27" s="42" t="s">
        <v>218</v>
      </c>
      <c r="Q27" s="32"/>
      <c r="R27" s="32"/>
      <c r="S27" s="32"/>
      <c r="T27" s="32"/>
    </row>
    <row r="28" spans="1:20" ht="18" customHeight="1" x14ac:dyDescent="0.3">
      <c r="B28" s="1" t="s">
        <v>219</v>
      </c>
      <c r="Q28" s="32"/>
      <c r="R28" s="32"/>
      <c r="S28" s="32"/>
      <c r="T28" s="32"/>
    </row>
    <row r="29" spans="1:20" ht="18" customHeight="1" x14ac:dyDescent="0.3">
      <c r="B29" s="1" t="s">
        <v>14</v>
      </c>
      <c r="Q29" s="32"/>
      <c r="R29" s="32"/>
      <c r="S29" s="32"/>
      <c r="T29" s="32"/>
    </row>
    <row r="30" spans="1:20" ht="18" customHeight="1" x14ac:dyDescent="0.3">
      <c r="B30" s="2" t="s">
        <v>220</v>
      </c>
      <c r="C30" s="32">
        <v>1455.4</v>
      </c>
      <c r="D30" s="32">
        <v>1418.2</v>
      </c>
      <c r="E30" s="46">
        <v>1371.4</v>
      </c>
      <c r="F30" s="46">
        <v>1353.8</v>
      </c>
      <c r="G30" s="46">
        <v>1324.7</v>
      </c>
      <c r="H30" s="46">
        <v>1215.2</v>
      </c>
      <c r="I30" s="46">
        <v>978.3</v>
      </c>
      <c r="J30" s="46">
        <v>844</v>
      </c>
      <c r="K30" s="46">
        <v>850</v>
      </c>
      <c r="L30" s="46">
        <v>1215</v>
      </c>
      <c r="M30" s="33">
        <f>'Working Schedules'!H67</f>
        <v>1261.54351875</v>
      </c>
      <c r="N30" s="33">
        <f>'Working Schedules'!I67</f>
        <v>1312.2486779374999</v>
      </c>
      <c r="O30" s="33">
        <f>'Working Schedules'!J67</f>
        <v>1365.5459445974998</v>
      </c>
      <c r="P30" s="33">
        <f>'Working Schedules'!K67</f>
        <v>1419.5430802750748</v>
      </c>
      <c r="Q30" s="33">
        <f>'Working Schedules'!L67</f>
        <v>1473.1657860282471</v>
      </c>
      <c r="R30" s="33">
        <f>'Working Schedules'!M67</f>
        <v>1526.3897239119306</v>
      </c>
      <c r="S30" s="33">
        <f>'Working Schedules'!N67</f>
        <v>1579.1889740146084</v>
      </c>
      <c r="T30" s="33">
        <f>'Working Schedules'!O67</f>
        <v>1631.5359316305157</v>
      </c>
    </row>
    <row r="31" spans="1:20" ht="18" customHeight="1" x14ac:dyDescent="0.3">
      <c r="B31" s="2" t="s">
        <v>28</v>
      </c>
      <c r="C31" s="32">
        <v>199.3</v>
      </c>
      <c r="D31" s="32">
        <v>101.8</v>
      </c>
      <c r="E31" s="46">
        <v>101.9</v>
      </c>
      <c r="F31" s="46">
        <v>104.1</v>
      </c>
      <c r="G31" s="46">
        <v>88.3</v>
      </c>
      <c r="H31" s="46">
        <v>87.7</v>
      </c>
      <c r="I31" s="46">
        <v>66.8</v>
      </c>
      <c r="J31" s="46">
        <v>37</v>
      </c>
      <c r="K31" s="46">
        <v>72</v>
      </c>
      <c r="L31" s="46">
        <v>77</v>
      </c>
      <c r="M31" s="33">
        <f>'Working Schedules'!H44</f>
        <v>77.000000000000028</v>
      </c>
      <c r="N31" s="33">
        <f>'Working Schedules'!I44</f>
        <v>77.000000000000028</v>
      </c>
      <c r="O31" s="33">
        <f>'Working Schedules'!J44</f>
        <v>77.000000000000028</v>
      </c>
      <c r="P31" s="33">
        <f>'Working Schedules'!K44</f>
        <v>77.000000000000057</v>
      </c>
      <c r="Q31" s="33">
        <f>'Working Schedules'!L44</f>
        <v>77.000000000000057</v>
      </c>
      <c r="R31" s="33">
        <f>'Working Schedules'!M44</f>
        <v>77.000000000000057</v>
      </c>
      <c r="S31" s="33">
        <f>'Working Schedules'!N44</f>
        <v>77.000000000000057</v>
      </c>
      <c r="T31" s="33">
        <f>'Working Schedules'!O44</f>
        <v>77.000000000000057</v>
      </c>
    </row>
    <row r="32" spans="1:20" ht="18" customHeight="1" x14ac:dyDescent="0.3">
      <c r="B32" s="2" t="s">
        <v>221</v>
      </c>
      <c r="E32" s="46"/>
      <c r="F32" s="46">
        <v>197.5</v>
      </c>
      <c r="G32" s="46">
        <v>164.4</v>
      </c>
      <c r="H32" s="46">
        <v>260.60000000000002</v>
      </c>
      <c r="I32" s="46">
        <v>172.60000000000002</v>
      </c>
      <c r="J32" s="46">
        <v>226.60000000000002</v>
      </c>
      <c r="K32" s="46">
        <v>456.6</v>
      </c>
      <c r="L32" s="46">
        <v>500.49</v>
      </c>
      <c r="M32" s="33">
        <f>'Working Schedules'!H55</f>
        <v>671.22666100000004</v>
      </c>
      <c r="N32" s="33">
        <f>'Working Schedules'!I55</f>
        <v>746.8438611900001</v>
      </c>
      <c r="O32" s="33">
        <f>'Working Schedules'!J55</f>
        <v>821.9347172022002</v>
      </c>
      <c r="P32" s="33">
        <f>'Working Schedules'!K55</f>
        <v>895.43839741658417</v>
      </c>
      <c r="Q32" s="33">
        <f>'Working Schedules'!L55</f>
        <v>967.69643976603072</v>
      </c>
      <c r="R32" s="33">
        <f>'Working Schedules'!M55</f>
        <v>1040.4348909129808</v>
      </c>
      <c r="S32" s="33">
        <f>'Working Schedules'!N55</f>
        <v>1114.9498866158351</v>
      </c>
      <c r="T32" s="33">
        <f>'Working Schedules'!O55</f>
        <v>1192.2423387013218</v>
      </c>
    </row>
    <row r="33" spans="2:20" ht="18" customHeight="1" x14ac:dyDescent="0.3">
      <c r="B33" s="2" t="s">
        <v>2</v>
      </c>
      <c r="C33" s="32">
        <v>393.2</v>
      </c>
      <c r="D33" s="32">
        <v>383.8</v>
      </c>
      <c r="E33" s="46">
        <v>373.7</v>
      </c>
      <c r="F33" s="46">
        <v>383.6</v>
      </c>
      <c r="G33" s="46">
        <v>375.5</v>
      </c>
      <c r="H33" s="46">
        <v>358</v>
      </c>
      <c r="I33" s="46">
        <v>356.7</v>
      </c>
      <c r="J33" s="46">
        <v>349</v>
      </c>
      <c r="K33" s="46">
        <v>329</v>
      </c>
      <c r="L33" s="46">
        <v>76</v>
      </c>
      <c r="M33" s="33">
        <f>'Working Schedules'!H81</f>
        <v>95.485029999999995</v>
      </c>
      <c r="N33" s="33">
        <f>'Working Schedules'!I81</f>
        <v>100.04951149999999</v>
      </c>
      <c r="O33" s="33">
        <f>'Working Schedules'!J81</f>
        <v>105.20647470799997</v>
      </c>
      <c r="P33" s="33">
        <f>'Working Schedules'!K81</f>
        <v>110.84334809947998</v>
      </c>
      <c r="Q33" s="33">
        <f>'Working Schedules'!L81</f>
        <v>116.90814140456291</v>
      </c>
      <c r="R33" s="33">
        <f>'Working Schedules'!M81</f>
        <v>123.4286694176331</v>
      </c>
      <c r="S33" s="33">
        <f>'Working Schedules'!N81</f>
        <v>130.43455489470966</v>
      </c>
      <c r="T33" s="33">
        <f>'Working Schedules'!O81</f>
        <v>137.95734607095298</v>
      </c>
    </row>
    <row r="34" spans="2:20" ht="18" customHeight="1" x14ac:dyDescent="0.3">
      <c r="B34" s="2" t="s">
        <v>222</v>
      </c>
      <c r="C34" s="32">
        <v>68</v>
      </c>
      <c r="D34" s="32">
        <v>36.1</v>
      </c>
      <c r="E34" s="46">
        <v>49.3</v>
      </c>
      <c r="F34" s="46">
        <v>21</v>
      </c>
      <c r="G34" s="46">
        <v>21</v>
      </c>
      <c r="H34" s="46">
        <v>21</v>
      </c>
      <c r="I34" s="46">
        <v>1</v>
      </c>
      <c r="J34" s="46">
        <v>1</v>
      </c>
      <c r="K34" s="46">
        <v>1</v>
      </c>
      <c r="L34" s="46">
        <v>55</v>
      </c>
      <c r="M34" s="33">
        <f>L34</f>
        <v>55</v>
      </c>
      <c r="N34" s="33">
        <f t="shared" ref="N34:P34" si="33">M34</f>
        <v>55</v>
      </c>
      <c r="O34" s="33">
        <f t="shared" si="33"/>
        <v>55</v>
      </c>
      <c r="P34" s="33">
        <f t="shared" si="33"/>
        <v>55</v>
      </c>
      <c r="Q34" s="33">
        <f t="shared" ref="Q34" si="34">P34</f>
        <v>55</v>
      </c>
      <c r="R34" s="33">
        <f t="shared" ref="R34" si="35">Q34</f>
        <v>55</v>
      </c>
      <c r="S34" s="33">
        <f t="shared" ref="S34" si="36">R34</f>
        <v>55</v>
      </c>
      <c r="T34" s="33">
        <f t="shared" ref="T34" si="37">S34</f>
        <v>55</v>
      </c>
    </row>
    <row r="35" spans="2:20" ht="18" customHeight="1" x14ac:dyDescent="0.3">
      <c r="B35" s="3" t="s">
        <v>223</v>
      </c>
      <c r="C35" s="30">
        <f>SUM(C30:C34)</f>
        <v>2115.9</v>
      </c>
      <c r="D35" s="30">
        <f t="shared" ref="D35:P35" si="38">SUM(D30:D34)</f>
        <v>1939.8999999999999</v>
      </c>
      <c r="E35" s="30">
        <f t="shared" si="38"/>
        <v>1896.3000000000002</v>
      </c>
      <c r="F35" s="30">
        <f t="shared" si="38"/>
        <v>2060</v>
      </c>
      <c r="G35" s="30">
        <f t="shared" si="38"/>
        <v>1973.9</v>
      </c>
      <c r="H35" s="30">
        <f t="shared" si="38"/>
        <v>1942.5</v>
      </c>
      <c r="I35" s="30">
        <f t="shared" si="38"/>
        <v>1575.3999999999999</v>
      </c>
      <c r="J35" s="30">
        <f t="shared" si="38"/>
        <v>1457.6</v>
      </c>
      <c r="K35" s="30">
        <f t="shared" si="38"/>
        <v>1708.6</v>
      </c>
      <c r="L35" s="30">
        <f t="shared" si="38"/>
        <v>1923.49</v>
      </c>
      <c r="M35" s="30">
        <f t="shared" si="38"/>
        <v>2160.2552097499997</v>
      </c>
      <c r="N35" s="30">
        <f t="shared" si="38"/>
        <v>2291.1420506274999</v>
      </c>
      <c r="O35" s="30">
        <f t="shared" si="38"/>
        <v>2424.6871365077</v>
      </c>
      <c r="P35" s="30">
        <f t="shared" si="38"/>
        <v>2557.8248257911391</v>
      </c>
      <c r="Q35" s="30">
        <f t="shared" ref="Q35:T35" si="39">SUM(Q30:Q34)</f>
        <v>2689.7703671988411</v>
      </c>
      <c r="R35" s="30">
        <f t="shared" si="39"/>
        <v>2822.2532842425444</v>
      </c>
      <c r="S35" s="30">
        <f t="shared" si="39"/>
        <v>2956.573415525153</v>
      </c>
      <c r="T35" s="30">
        <f t="shared" si="39"/>
        <v>3093.7356164027906</v>
      </c>
    </row>
    <row r="36" spans="2:20" ht="18" customHeight="1" x14ac:dyDescent="0.3">
      <c r="B36" s="2" t="s">
        <v>224</v>
      </c>
      <c r="C36" s="32">
        <v>1030.9000000000001</v>
      </c>
      <c r="D36" s="32">
        <v>1280.2</v>
      </c>
      <c r="E36" s="46">
        <v>1948.7999999999997</v>
      </c>
      <c r="F36" s="46">
        <v>1921</v>
      </c>
      <c r="G36" s="46">
        <v>1760.1</v>
      </c>
      <c r="H36" s="46">
        <v>1805.4</v>
      </c>
      <c r="I36" s="46">
        <v>1951.5000000000002</v>
      </c>
      <c r="J36" s="46">
        <v>2414.4</v>
      </c>
      <c r="K36" s="46">
        <v>2337.4</v>
      </c>
      <c r="L36" s="46">
        <v>1982.51</v>
      </c>
      <c r="M36" s="32">
        <f>M25-M35-M44</f>
        <v>1872.5260000000017</v>
      </c>
      <c r="N36" s="32">
        <f t="shared" ref="N36:T36" si="40">N25-N35-N44</f>
        <v>1872.525999999998</v>
      </c>
      <c r="O36" s="32">
        <f t="shared" si="40"/>
        <v>1872.525999999998</v>
      </c>
      <c r="P36" s="32">
        <f t="shared" si="40"/>
        <v>1872.5259999999998</v>
      </c>
      <c r="Q36" s="32">
        <f t="shared" si="40"/>
        <v>1872.5260000000017</v>
      </c>
      <c r="R36" s="32">
        <f t="shared" si="40"/>
        <v>1872.5260000000053</v>
      </c>
      <c r="S36" s="32">
        <f t="shared" si="40"/>
        <v>1872.5260000000053</v>
      </c>
      <c r="T36" s="32">
        <f t="shared" si="40"/>
        <v>1872.5260000000017</v>
      </c>
    </row>
    <row r="37" spans="2:20" ht="18" customHeight="1" x14ac:dyDescent="0.3">
      <c r="B37" s="3" t="s">
        <v>227</v>
      </c>
      <c r="C37" s="30">
        <f>SUM(C35:C36)</f>
        <v>3146.8</v>
      </c>
      <c r="D37" s="30">
        <f t="shared" ref="D37:P37" si="41">SUM(D35:D36)</f>
        <v>3220.1</v>
      </c>
      <c r="E37" s="30">
        <f t="shared" si="41"/>
        <v>3845.1</v>
      </c>
      <c r="F37" s="30">
        <f t="shared" si="41"/>
        <v>3981</v>
      </c>
      <c r="G37" s="30">
        <f t="shared" si="41"/>
        <v>3734</v>
      </c>
      <c r="H37" s="30">
        <f t="shared" si="41"/>
        <v>3747.9</v>
      </c>
      <c r="I37" s="30">
        <f t="shared" si="41"/>
        <v>3526.9</v>
      </c>
      <c r="J37" s="30">
        <f t="shared" si="41"/>
        <v>3872</v>
      </c>
      <c r="K37" s="30">
        <f t="shared" si="41"/>
        <v>4046</v>
      </c>
      <c r="L37" s="30">
        <f t="shared" si="41"/>
        <v>3906</v>
      </c>
      <c r="M37" s="30">
        <f t="shared" si="41"/>
        <v>4032.7812097500014</v>
      </c>
      <c r="N37" s="30">
        <f t="shared" si="41"/>
        <v>4163.6680506274979</v>
      </c>
      <c r="O37" s="30">
        <f t="shared" si="41"/>
        <v>4297.2131365076984</v>
      </c>
      <c r="P37" s="30">
        <f t="shared" si="41"/>
        <v>4430.350825791139</v>
      </c>
      <c r="Q37" s="30">
        <f t="shared" ref="Q37:T37" si="42">SUM(Q35:Q36)</f>
        <v>4562.2963671988427</v>
      </c>
      <c r="R37" s="30">
        <f t="shared" si="42"/>
        <v>4694.7792842425497</v>
      </c>
      <c r="S37" s="30">
        <f t="shared" si="42"/>
        <v>4829.0994155251583</v>
      </c>
      <c r="T37" s="30">
        <f t="shared" si="42"/>
        <v>4966.2616164027922</v>
      </c>
    </row>
    <row r="38" spans="2:20" ht="18" customHeight="1" x14ac:dyDescent="0.3">
      <c r="B38" s="3"/>
      <c r="Q38" s="32"/>
      <c r="R38" s="32"/>
      <c r="S38" s="32"/>
      <c r="T38" s="32"/>
    </row>
    <row r="39" spans="2:20" ht="18" customHeight="1" x14ac:dyDescent="0.3">
      <c r="B39" s="5" t="s">
        <v>225</v>
      </c>
      <c r="Q39" s="32"/>
      <c r="R39" s="32"/>
      <c r="S39" s="32"/>
      <c r="T39" s="32"/>
    </row>
    <row r="40" spans="2:20" ht="18" customHeight="1" x14ac:dyDescent="0.3">
      <c r="B40" s="2" t="s">
        <v>214</v>
      </c>
      <c r="C40" s="32">
        <v>2953.4</v>
      </c>
      <c r="D40" s="32">
        <v>2711.2</v>
      </c>
      <c r="E40" s="46">
        <v>2542.5</v>
      </c>
      <c r="F40" s="46">
        <v>2283.5</v>
      </c>
      <c r="G40" s="46">
        <v>2187.1999999999998</v>
      </c>
      <c r="H40" s="46">
        <v>2373.6</v>
      </c>
      <c r="I40" s="46">
        <v>2434</v>
      </c>
      <c r="J40" s="46">
        <v>3056</v>
      </c>
      <c r="K40" s="46">
        <v>3410</v>
      </c>
      <c r="L40" s="46">
        <v>3609</v>
      </c>
      <c r="M40" s="33">
        <f>'Working Capital Schedule'!M9</f>
        <v>3613.6625205479459</v>
      </c>
      <c r="N40" s="33">
        <f>'Working Capital Schedule'!N9</f>
        <v>4259.039626849315</v>
      </c>
      <c r="O40" s="33">
        <f>'Working Capital Schedule'!O9</f>
        <v>4243.4786923397278</v>
      </c>
      <c r="P40" s="33">
        <f>'Working Capital Schedule'!P9</f>
        <v>4854.2159091925478</v>
      </c>
      <c r="Q40" s="33">
        <f>'Working Capital Schedule'!Q9</f>
        <v>4834.8288414393264</v>
      </c>
      <c r="R40" s="33">
        <f>'Working Capital Schedule'!R9</f>
        <v>5484.0038179836174</v>
      </c>
      <c r="S40" s="33">
        <f>'Working Capital Schedule'!S9</f>
        <v>5505.5529643018162</v>
      </c>
      <c r="T40" s="33">
        <f>'Working Capital Schedule'!T9</f>
        <v>6198.3250088321711</v>
      </c>
    </row>
    <row r="41" spans="2:20" ht="18" customHeight="1" x14ac:dyDescent="0.3">
      <c r="B41" s="2" t="s">
        <v>3</v>
      </c>
      <c r="C41" s="32">
        <v>1927.6</v>
      </c>
      <c r="D41" s="32">
        <v>1919.7</v>
      </c>
      <c r="E41" s="46">
        <v>1934.3</v>
      </c>
      <c r="F41" s="46">
        <v>1927.5</v>
      </c>
      <c r="G41" s="46">
        <v>2051.9</v>
      </c>
      <c r="H41" s="46">
        <v>2156.6999999999998</v>
      </c>
      <c r="I41" s="46">
        <v>2230</v>
      </c>
      <c r="J41" s="46">
        <v>2063</v>
      </c>
      <c r="K41" s="46">
        <v>2305</v>
      </c>
      <c r="L41" s="46">
        <v>2668</v>
      </c>
      <c r="M41" s="33">
        <f>'Working Capital Schedule'!M12</f>
        <v>2810.4267520547937</v>
      </c>
      <c r="N41" s="33">
        <f>'Working Capital Schedule'!N12</f>
        <v>3106.2741401643843</v>
      </c>
      <c r="O41" s="33">
        <f>'Working Capital Schedule'!O12</f>
        <v>3224.5958145101358</v>
      </c>
      <c r="P41" s="33">
        <f>'Working Capital Schedule'!P12</f>
        <v>3486.1263374448572</v>
      </c>
      <c r="Q41" s="33">
        <f>'Working Capital Schedule'!Q12</f>
        <v>3660.792754387212</v>
      </c>
      <c r="R41" s="33">
        <f>'Working Capital Schedule'!R12</f>
        <v>3950.6760784139406</v>
      </c>
      <c r="S41" s="33">
        <f>'Working Capital Schedule'!S12</f>
        <v>4155.5382285192845</v>
      </c>
      <c r="T41" s="33">
        <f>'Working Capital Schedule'!T12</f>
        <v>4477.5800083645991</v>
      </c>
    </row>
    <row r="42" spans="2:20" ht="18" customHeight="1" x14ac:dyDescent="0.3">
      <c r="B42" s="2" t="s">
        <v>226</v>
      </c>
      <c r="C42" s="32">
        <v>780.80000000000018</v>
      </c>
      <c r="D42" s="32">
        <v>849.19999999999982</v>
      </c>
      <c r="E42" s="46">
        <v>504.09999999999945</v>
      </c>
      <c r="F42" s="46">
        <v>585.80000000000018</v>
      </c>
      <c r="G42" s="46">
        <v>480.00000000000045</v>
      </c>
      <c r="H42" s="46">
        <v>350.70000000000027</v>
      </c>
      <c r="I42" s="46">
        <v>431.5</v>
      </c>
      <c r="J42" s="46">
        <v>390</v>
      </c>
      <c r="K42" s="46">
        <v>584</v>
      </c>
      <c r="L42" s="46">
        <v>1152</v>
      </c>
      <c r="M42" s="33">
        <f>L42*(1+Assumptions!E27)</f>
        <v>1215.3599999999999</v>
      </c>
      <c r="N42" s="33">
        <f>M42*(1+Assumptions!F27)</f>
        <v>1282.2047999999998</v>
      </c>
      <c r="O42" s="33">
        <f>N42*(1+Assumptions!G27)</f>
        <v>1352.7260639999997</v>
      </c>
      <c r="P42" s="33">
        <f>O42*(1+Assumptions!H27)</f>
        <v>1427.1259975199996</v>
      </c>
      <c r="Q42" s="33">
        <f>P42*(1+Assumptions!I27)</f>
        <v>1505.6179273835994</v>
      </c>
      <c r="R42" s="33">
        <f>Q42*(1+Assumptions!J27)</f>
        <v>1588.4269133896973</v>
      </c>
      <c r="S42" s="33">
        <f>R42*(1+Assumptions!K27)</f>
        <v>1675.7903936261307</v>
      </c>
      <c r="T42" s="33">
        <f>S42*(1+Assumptions!L27)</f>
        <v>1767.9588652755679</v>
      </c>
    </row>
    <row r="43" spans="2:20" ht="18" customHeight="1" x14ac:dyDescent="0.3">
      <c r="B43" s="3" t="s">
        <v>249</v>
      </c>
      <c r="C43" s="32">
        <v>87.3</v>
      </c>
      <c r="D43" s="32">
        <v>256.10000000000002</v>
      </c>
      <c r="E43" s="46">
        <v>282.89999999999998</v>
      </c>
      <c r="F43" s="46">
        <v>73.5</v>
      </c>
      <c r="G43" s="46">
        <v>83.9</v>
      </c>
      <c r="H43" s="46">
        <v>282.39999999999998</v>
      </c>
      <c r="I43" s="46">
        <v>1139.0999999999999</v>
      </c>
      <c r="J43" s="46">
        <v>1868</v>
      </c>
      <c r="K43" s="46">
        <v>2903</v>
      </c>
      <c r="L43" s="46">
        <v>3134</v>
      </c>
      <c r="M43" s="33">
        <f>CS!M22</f>
        <v>3031.0784607971691</v>
      </c>
      <c r="N43" s="33">
        <f>CS!N22</f>
        <v>3809.9447872234923</v>
      </c>
      <c r="O43" s="33">
        <f>CS!O22</f>
        <v>4055.3745671233251</v>
      </c>
      <c r="P43" s="33">
        <f>CS!P22</f>
        <v>5013.4262969227693</v>
      </c>
      <c r="Q43" s="33">
        <f>CS!Q22</f>
        <v>5374.4458645195627</v>
      </c>
      <c r="R43" s="33">
        <f>CS!R22</f>
        <v>6423.0317494829942</v>
      </c>
      <c r="S43" s="33">
        <f>CS!S22</f>
        <v>6894.5425242279089</v>
      </c>
      <c r="T43" s="33">
        <f>CS!T22</f>
        <v>8059.4748354814501</v>
      </c>
    </row>
    <row r="44" spans="2:20" ht="18" customHeight="1" x14ac:dyDescent="0.3">
      <c r="B44" s="3" t="s">
        <v>4</v>
      </c>
      <c r="C44" s="30">
        <f t="shared" ref="C44:P44" si="43">SUM(C40:C43)</f>
        <v>5749.1</v>
      </c>
      <c r="D44" s="30">
        <f t="shared" si="43"/>
        <v>5736.2</v>
      </c>
      <c r="E44" s="30">
        <f t="shared" si="43"/>
        <v>5263.7999999999993</v>
      </c>
      <c r="F44" s="30">
        <f t="shared" si="43"/>
        <v>4870.3</v>
      </c>
      <c r="G44" s="30">
        <f t="shared" si="43"/>
        <v>4803</v>
      </c>
      <c r="H44" s="30">
        <f t="shared" si="43"/>
        <v>5163.3999999999996</v>
      </c>
      <c r="I44" s="30">
        <f t="shared" si="43"/>
        <v>6234.6</v>
      </c>
      <c r="J44" s="30">
        <f t="shared" si="43"/>
        <v>7377</v>
      </c>
      <c r="K44" s="30">
        <f t="shared" si="43"/>
        <v>9202</v>
      </c>
      <c r="L44" s="30">
        <f t="shared" si="43"/>
        <v>10563</v>
      </c>
      <c r="M44" s="30">
        <f t="shared" si="43"/>
        <v>10670.527733399907</v>
      </c>
      <c r="N44" s="30">
        <f t="shared" si="43"/>
        <v>12457.463354237192</v>
      </c>
      <c r="O44" s="30">
        <f t="shared" si="43"/>
        <v>12876.175137973189</v>
      </c>
      <c r="P44" s="30">
        <f t="shared" si="43"/>
        <v>14780.894541080173</v>
      </c>
      <c r="Q44" s="30">
        <f t="shared" ref="Q44:T44" si="44">SUM(Q40:Q43)</f>
        <v>15375.6853877297</v>
      </c>
      <c r="R44" s="30">
        <f t="shared" si="44"/>
        <v>17446.13855927025</v>
      </c>
      <c r="S44" s="30">
        <f t="shared" si="44"/>
        <v>18231.42411067514</v>
      </c>
      <c r="T44" s="30">
        <f t="shared" si="44"/>
        <v>20503.338717953789</v>
      </c>
    </row>
    <row r="45" spans="2:20" ht="18" customHeight="1" x14ac:dyDescent="0.3">
      <c r="Q45" s="32"/>
      <c r="R45" s="32"/>
      <c r="S45" s="32"/>
      <c r="T45" s="32"/>
    </row>
    <row r="46" spans="2:20" ht="18" customHeight="1" x14ac:dyDescent="0.3">
      <c r="B46" s="5" t="s">
        <v>5</v>
      </c>
      <c r="C46" s="30">
        <f t="shared" ref="C46:P46" si="45">C37+C44</f>
        <v>8895.9000000000015</v>
      </c>
      <c r="D46" s="30">
        <f t="shared" si="45"/>
        <v>8956.2999999999993</v>
      </c>
      <c r="E46" s="30">
        <f t="shared" si="45"/>
        <v>9108.9</v>
      </c>
      <c r="F46" s="30">
        <f t="shared" si="45"/>
        <v>8851.2999999999993</v>
      </c>
      <c r="G46" s="30">
        <f t="shared" si="45"/>
        <v>8537</v>
      </c>
      <c r="H46" s="30">
        <f t="shared" si="45"/>
        <v>8911.2999999999993</v>
      </c>
      <c r="I46" s="30">
        <f t="shared" si="45"/>
        <v>9761.5</v>
      </c>
      <c r="J46" s="30">
        <f t="shared" si="45"/>
        <v>11249</v>
      </c>
      <c r="K46" s="30">
        <f t="shared" si="45"/>
        <v>13248</v>
      </c>
      <c r="L46" s="30">
        <f>L37+L44</f>
        <v>14469</v>
      </c>
      <c r="M46" s="30">
        <f t="shared" si="45"/>
        <v>14703.308943149908</v>
      </c>
      <c r="N46" s="30">
        <f t="shared" si="45"/>
        <v>16621.131404864689</v>
      </c>
      <c r="O46" s="30">
        <f t="shared" si="45"/>
        <v>17173.388274480887</v>
      </c>
      <c r="P46" s="30">
        <f t="shared" si="45"/>
        <v>19211.245366871313</v>
      </c>
      <c r="Q46" s="30">
        <f t="shared" ref="Q46:T46" si="46">Q37+Q44</f>
        <v>19937.981754928544</v>
      </c>
      <c r="R46" s="30">
        <f t="shared" si="46"/>
        <v>22140.917843512798</v>
      </c>
      <c r="S46" s="30">
        <f t="shared" si="46"/>
        <v>23060.523526200297</v>
      </c>
      <c r="T46" s="30">
        <f t="shared" si="46"/>
        <v>25469.600334356583</v>
      </c>
    </row>
    <row r="47" spans="2:20" ht="18" customHeight="1" x14ac:dyDescent="0.3">
      <c r="Q47" s="32"/>
      <c r="R47" s="32"/>
      <c r="S47" s="32"/>
      <c r="T47" s="32"/>
    </row>
    <row r="48" spans="2:20" ht="18" customHeight="1" x14ac:dyDescent="0.3">
      <c r="Q48" s="32"/>
      <c r="R48" s="32"/>
      <c r="S48" s="32"/>
      <c r="T48" s="32"/>
    </row>
    <row r="49" spans="2:20" ht="18" customHeight="1" x14ac:dyDescent="0.3">
      <c r="B49" t="s">
        <v>16</v>
      </c>
      <c r="C49" s="32">
        <f t="shared" ref="C49:P49" si="47">C46-C25</f>
        <v>0</v>
      </c>
      <c r="D49" s="32">
        <f t="shared" si="47"/>
        <v>0</v>
      </c>
      <c r="E49" s="32">
        <f t="shared" si="47"/>
        <v>0</v>
      </c>
      <c r="F49" s="32">
        <f t="shared" si="47"/>
        <v>0</v>
      </c>
      <c r="G49" s="32">
        <f t="shared" si="47"/>
        <v>0</v>
      </c>
      <c r="H49" s="32">
        <f t="shared" si="47"/>
        <v>0</v>
      </c>
      <c r="I49" s="32">
        <f t="shared" si="47"/>
        <v>0</v>
      </c>
      <c r="J49" s="32">
        <f t="shared" si="47"/>
        <v>0</v>
      </c>
      <c r="K49" s="32">
        <f t="shared" si="47"/>
        <v>0</v>
      </c>
      <c r="L49" s="32">
        <f t="shared" si="47"/>
        <v>0</v>
      </c>
      <c r="M49" s="32">
        <f>M46-M25</f>
        <v>0</v>
      </c>
      <c r="N49" s="32">
        <f t="shared" si="47"/>
        <v>0</v>
      </c>
      <c r="O49" s="32">
        <f t="shared" si="47"/>
        <v>0</v>
      </c>
      <c r="P49" s="32">
        <f t="shared" si="47"/>
        <v>0</v>
      </c>
      <c r="Q49" s="32">
        <f>Q46-Q25</f>
        <v>0</v>
      </c>
      <c r="R49" s="32">
        <f t="shared" ref="R49:T49" si="48">R46-R25</f>
        <v>0</v>
      </c>
      <c r="S49" s="32">
        <f t="shared" si="48"/>
        <v>0</v>
      </c>
      <c r="T49" s="32">
        <f t="shared" si="48"/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BB64-50E0-484C-A10F-A5F3BC8BBC43}">
  <dimension ref="A1:T29"/>
  <sheetViews>
    <sheetView showGridLines="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O22" sqref="O22"/>
    </sheetView>
  </sheetViews>
  <sheetFormatPr defaultRowHeight="18" customHeight="1" x14ac:dyDescent="0.3"/>
  <cols>
    <col min="1" max="1" width="2.77734375" customWidth="1"/>
    <col min="2" max="2" width="50.77734375" customWidth="1"/>
    <col min="3" max="16" width="10.77734375" style="32" customWidth="1"/>
  </cols>
  <sheetData>
    <row r="1" spans="1:20" ht="18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20" ht="18" customHeight="1" x14ac:dyDescent="0.4">
      <c r="B2" s="45" t="s">
        <v>238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T2" s="246" t="str">
        <f>BS!T2</f>
        <v>CURRENTLY RUNNING: BASE SCENARIO</v>
      </c>
    </row>
    <row r="3" spans="1:20" ht="18" customHeight="1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20" ht="18" customHeight="1" x14ac:dyDescent="0.3"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0" ht="18" customHeigh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20" ht="18" customHeight="1" x14ac:dyDescent="0.3">
      <c r="A6" t="s">
        <v>15</v>
      </c>
      <c r="B6" s="1" t="s">
        <v>246</v>
      </c>
      <c r="C6" s="29">
        <f>PL!C22</f>
        <v>93</v>
      </c>
      <c r="D6" s="29">
        <f>PL!D22</f>
        <v>651.9</v>
      </c>
      <c r="E6" s="29">
        <f>PL!E22</f>
        <v>683.6</v>
      </c>
      <c r="F6" s="29">
        <f>PL!F22</f>
        <v>620.6</v>
      </c>
      <c r="G6" s="29">
        <f>PL!G22</f>
        <v>362.10000000000014</v>
      </c>
      <c r="H6" s="29">
        <f>PL!H22</f>
        <v>810.6</v>
      </c>
      <c r="I6" s="29">
        <f>PL!I22</f>
        <v>1125.8</v>
      </c>
      <c r="J6" s="29">
        <f>PL!J22</f>
        <v>1408</v>
      </c>
      <c r="K6" s="29">
        <f>PL!K22</f>
        <v>1582</v>
      </c>
      <c r="L6" s="29">
        <f>PL!L22</f>
        <v>1838</v>
      </c>
      <c r="M6" s="29">
        <f>PL!M22</f>
        <v>1708.6379306742801</v>
      </c>
      <c r="N6" s="29">
        <f>PL!N22</f>
        <v>1891.2508056363263</v>
      </c>
      <c r="O6" s="29">
        <f>PL!O22</f>
        <v>2118.6320661070326</v>
      </c>
      <c r="P6" s="29">
        <f>PL!P22</f>
        <v>2317.6541727370413</v>
      </c>
      <c r="Q6" s="29">
        <f>PL!Q22</f>
        <v>2489.1952832327938</v>
      </c>
      <c r="R6" s="29">
        <f>PL!R22</f>
        <v>2641.1629527579844</v>
      </c>
      <c r="S6" s="29">
        <f>PL!S22</f>
        <v>2836.3987102328319</v>
      </c>
      <c r="T6" s="29">
        <f>PL!T22</f>
        <v>3013.6050455668183</v>
      </c>
    </row>
    <row r="7" spans="1:20" ht="18" customHeight="1" x14ac:dyDescent="0.3">
      <c r="B7" t="s">
        <v>241</v>
      </c>
      <c r="C7" s="33">
        <f>-PL!C13</f>
        <v>188.6</v>
      </c>
      <c r="D7" s="33">
        <f>-PL!D13</f>
        <v>192.3</v>
      </c>
      <c r="E7" s="33">
        <f>-PL!E13</f>
        <v>214.7</v>
      </c>
      <c r="F7" s="33">
        <f>-PL!F13</f>
        <v>285.3</v>
      </c>
      <c r="G7" s="33">
        <f>-PL!G13</f>
        <v>299.10000000000002</v>
      </c>
      <c r="H7" s="33">
        <f>-PL!H13</f>
        <v>303.8</v>
      </c>
      <c r="I7" s="33">
        <f>-PL!I13</f>
        <v>283</v>
      </c>
      <c r="J7" s="33">
        <f>-PL!J13</f>
        <v>275</v>
      </c>
      <c r="K7" s="33">
        <f>-PL!K13</f>
        <v>283</v>
      </c>
      <c r="L7" s="33">
        <f>-PL!L13</f>
        <v>289</v>
      </c>
      <c r="M7" s="33">
        <f>-PL!M13</f>
        <v>377.01290025000003</v>
      </c>
      <c r="N7" s="33">
        <f>-PL!N13</f>
        <v>417.15873902250001</v>
      </c>
      <c r="O7" s="33">
        <f>-PL!O13</f>
        <v>458.34414041180003</v>
      </c>
      <c r="P7" s="33">
        <f>-PL!P13</f>
        <v>500.18378284900103</v>
      </c>
      <c r="Q7" s="33">
        <f>-PL!Q13</f>
        <v>542.5418264133466</v>
      </c>
      <c r="R7" s="33">
        <f>-PL!R13</f>
        <v>585.84612968571287</v>
      </c>
      <c r="S7" s="33">
        <f>-PL!S13</f>
        <v>630.70030348421983</v>
      </c>
      <c r="T7" s="33">
        <f>-PL!T13</f>
        <v>677.58456214903549</v>
      </c>
    </row>
    <row r="8" spans="1:20" ht="18" customHeight="1" x14ac:dyDescent="0.3">
      <c r="B8" s="96" t="s">
        <v>247</v>
      </c>
      <c r="C8" s="46">
        <v>227.20000000000005</v>
      </c>
      <c r="D8" s="46">
        <v>358.90000000000197</v>
      </c>
      <c r="E8" s="46">
        <v>103.89999999999867</v>
      </c>
      <c r="F8" s="46">
        <v>3.0000000000008527</v>
      </c>
      <c r="G8" s="46">
        <v>1752.1999999999998</v>
      </c>
      <c r="H8" s="46">
        <v>611.50000000000068</v>
      </c>
      <c r="I8" s="46">
        <v>-468.8000000000003</v>
      </c>
      <c r="J8" s="46">
        <v>-431.89999999999964</v>
      </c>
      <c r="K8" s="46">
        <v>94.599999999999909</v>
      </c>
      <c r="L8" s="46">
        <v>-37</v>
      </c>
      <c r="M8" s="32">
        <f>-PL!M18-PL!M17</f>
        <v>-107.87265695000001</v>
      </c>
      <c r="N8" s="32">
        <f>-PL!N18-PL!N17</f>
        <v>-88.182941927315994</v>
      </c>
      <c r="O8" s="32">
        <f>-PL!O18-PL!O17</f>
        <v>-124.50684366206701</v>
      </c>
      <c r="P8" s="32">
        <f>-PL!P18-PL!P17</f>
        <v>-125.01770860954394</v>
      </c>
      <c r="Q8" s="32">
        <f>-PL!Q18-PL!Q17</f>
        <v>-170.84807637211856</v>
      </c>
      <c r="R8" s="32">
        <f>-PL!R18-PL!R17</f>
        <v>-176.88558737855095</v>
      </c>
      <c r="S8" s="32">
        <f>-PL!S18-PL!S17</f>
        <v>-226.57087998786244</v>
      </c>
      <c r="T8" s="32">
        <f>-PL!T18-PL!T17</f>
        <v>-237.64061835055196</v>
      </c>
    </row>
    <row r="9" spans="1:20" ht="18" customHeight="1" x14ac:dyDescent="0.3">
      <c r="B9" s="153" t="s">
        <v>248</v>
      </c>
      <c r="C9" s="149">
        <v>138</v>
      </c>
      <c r="D9" s="150">
        <f>-'Working Capital Schedule'!D21</f>
        <v>-278.00000000000182</v>
      </c>
      <c r="E9" s="150">
        <f>-'Working Capital Schedule'!E21</f>
        <v>-53.899999999998727</v>
      </c>
      <c r="F9" s="150">
        <f>-'Working Capital Schedule'!F21</f>
        <v>-125.70000000000073</v>
      </c>
      <c r="G9" s="150">
        <f>-'Working Capital Schedule'!G21</f>
        <v>-595.69999999999982</v>
      </c>
      <c r="H9" s="150">
        <f>-'Working Capital Schedule'!H21</f>
        <v>-748.50000000000045</v>
      </c>
      <c r="I9" s="150">
        <f>-'Working Capital Schedule'!I21</f>
        <v>-324.79999999999973</v>
      </c>
      <c r="J9" s="150">
        <f>-'Working Capital Schedule'!J21</f>
        <v>-133.09999999999991</v>
      </c>
      <c r="K9" s="150">
        <f>-'Working Capital Schedule'!K21</f>
        <v>-12.599999999999909</v>
      </c>
      <c r="L9" s="150">
        <f>-'Working Capital Schedule'!L21</f>
        <v>-631</v>
      </c>
      <c r="M9" s="150">
        <f>-'Working Capital Schedule'!M21</f>
        <v>-685.86950657534271</v>
      </c>
      <c r="N9" s="150">
        <f>-'Working Capital Schedule'!N21</f>
        <v>124.64106204383552</v>
      </c>
      <c r="O9" s="150">
        <f>-'Working Capital Schedule'!O21</f>
        <v>-495.70165858728797</v>
      </c>
      <c r="P9" s="150">
        <f>-'Working Capital Schedule'!P21</f>
        <v>138.5486435490202</v>
      </c>
      <c r="Q9" s="150">
        <f>-'Working Capital Schedule'!Q21</f>
        <v>-527.54842827025732</v>
      </c>
      <c r="R9" s="150">
        <f>-'Working Capital Schedule'!R21</f>
        <v>98.475629937657686</v>
      </c>
      <c r="S9" s="150">
        <f>-'Working Capital Schedule'!S21</f>
        <v>-553.82515100318051</v>
      </c>
      <c r="T9" s="150">
        <f>-'Working Capital Schedule'!T21</f>
        <v>70.579635730822702</v>
      </c>
    </row>
    <row r="10" spans="1:20" ht="18" customHeight="1" x14ac:dyDescent="0.3">
      <c r="A10" t="s">
        <v>15</v>
      </c>
      <c r="B10" s="1" t="s">
        <v>239</v>
      </c>
      <c r="C10" s="30">
        <f t="shared" ref="C10:P10" si="5">SUM(C6:C9)</f>
        <v>646.80000000000007</v>
      </c>
      <c r="D10" s="30">
        <f t="shared" si="5"/>
        <v>925.10000000000014</v>
      </c>
      <c r="E10" s="30">
        <f t="shared" si="5"/>
        <v>948.3</v>
      </c>
      <c r="F10" s="30">
        <f t="shared" si="5"/>
        <v>783.20000000000027</v>
      </c>
      <c r="G10" s="30">
        <f t="shared" si="5"/>
        <v>1817.7000000000003</v>
      </c>
      <c r="H10" s="30">
        <f t="shared" si="5"/>
        <v>977.40000000000032</v>
      </c>
      <c r="I10" s="30">
        <f t="shared" si="5"/>
        <v>615.19999999999993</v>
      </c>
      <c r="J10" s="30">
        <f t="shared" si="5"/>
        <v>1118.0000000000005</v>
      </c>
      <c r="K10" s="30">
        <f t="shared" si="5"/>
        <v>1947</v>
      </c>
      <c r="L10" s="30">
        <f t="shared" si="5"/>
        <v>1459</v>
      </c>
      <c r="M10" s="30">
        <f t="shared" si="5"/>
        <v>1291.9086673989373</v>
      </c>
      <c r="N10" s="30">
        <f t="shared" si="5"/>
        <v>2344.8676647753459</v>
      </c>
      <c r="O10" s="30">
        <f t="shared" si="5"/>
        <v>1956.7677042694777</v>
      </c>
      <c r="P10" s="30">
        <f t="shared" si="5"/>
        <v>2831.3688905255185</v>
      </c>
      <c r="Q10" s="30">
        <f t="shared" ref="Q10:T10" si="6">SUM(Q6:Q9)</f>
        <v>2333.3406050037643</v>
      </c>
      <c r="R10" s="30">
        <f t="shared" si="6"/>
        <v>3148.5991250028042</v>
      </c>
      <c r="S10" s="30">
        <f t="shared" si="6"/>
        <v>2686.7029827260089</v>
      </c>
      <c r="T10" s="30">
        <f t="shared" si="6"/>
        <v>3524.1286250961243</v>
      </c>
    </row>
    <row r="11" spans="1:20" ht="18" customHeight="1" x14ac:dyDescent="0.3">
      <c r="B11" t="s">
        <v>244</v>
      </c>
      <c r="C11" s="32">
        <v>19.7</v>
      </c>
      <c r="D11" s="32">
        <v>4.2</v>
      </c>
      <c r="E11" s="32">
        <v>6.4</v>
      </c>
      <c r="F11" s="32">
        <v>6.2</v>
      </c>
      <c r="G11" s="32">
        <v>11.1</v>
      </c>
      <c r="H11" s="32">
        <v>6.4</v>
      </c>
      <c r="I11" s="32">
        <v>20.399999999999999</v>
      </c>
      <c r="J11" s="32">
        <v>42</v>
      </c>
      <c r="K11" s="32">
        <v>36</v>
      </c>
      <c r="L11" s="32">
        <v>67</v>
      </c>
      <c r="M11" s="32">
        <f>M21*Assumptions!E9</f>
        <v>203.70999999999998</v>
      </c>
      <c r="N11" s="32">
        <f>N21*Assumptions!F9</f>
        <v>197.02009995181601</v>
      </c>
      <c r="O11" s="32">
        <f>O21*Assumptions!G9</f>
        <v>247.646411169527</v>
      </c>
      <c r="P11" s="32">
        <f>P21*Assumptions!H9</f>
        <v>263.59934686301614</v>
      </c>
      <c r="Q11" s="32">
        <f>Q21*Assumptions!I9</f>
        <v>325.87270929998004</v>
      </c>
      <c r="R11" s="32">
        <f>R21*Assumptions!J9</f>
        <v>349.33898119377159</v>
      </c>
      <c r="S11" s="32">
        <f>S21*Assumptions!K9</f>
        <v>417.49706371639462</v>
      </c>
      <c r="T11" s="32">
        <f>T21*Assumptions!L9</f>
        <v>448.14526407481407</v>
      </c>
    </row>
    <row r="12" spans="1:20" ht="18" customHeight="1" x14ac:dyDescent="0.3">
      <c r="B12" t="s">
        <v>137</v>
      </c>
      <c r="C12" s="32">
        <v>-311</v>
      </c>
      <c r="D12" s="32">
        <v>-184.3</v>
      </c>
      <c r="E12" s="32">
        <v>-173</v>
      </c>
      <c r="F12" s="32">
        <v>-211.6</v>
      </c>
      <c r="G12" s="32">
        <v>-158.9</v>
      </c>
      <c r="H12" s="32">
        <v>-134</v>
      </c>
      <c r="I12" s="32">
        <v>-136.6</v>
      </c>
      <c r="J12" s="32">
        <v>-98</v>
      </c>
      <c r="K12" s="32">
        <v>-162</v>
      </c>
      <c r="L12" s="32">
        <v>-181</v>
      </c>
      <c r="M12" s="32">
        <f>-'Working Schedules'!H42</f>
        <v>-203.83545000000001</v>
      </c>
      <c r="N12" s="32">
        <f>-'Working Schedules'!I42</f>
        <v>-222.18064050000001</v>
      </c>
      <c r="O12" s="32">
        <f>-'Working Schedules'!J42</f>
        <v>-239.95509174000003</v>
      </c>
      <c r="P12" s="32">
        <f>-'Working Schedules'!K42</f>
        <v>-256.75194816180004</v>
      </c>
      <c r="Q12" s="32">
        <f>-'Working Schedules'!L42</f>
        <v>-273.44082479231702</v>
      </c>
      <c r="R12" s="32">
        <f>-'Working Schedules'!M42</f>
        <v>-291.21447840381762</v>
      </c>
      <c r="S12" s="32">
        <f>-'Working Schedules'!N42</f>
        <v>-310.1434195000657</v>
      </c>
      <c r="T12" s="32">
        <f>-'Working Schedules'!O42</f>
        <v>-330.30274176756996</v>
      </c>
    </row>
    <row r="13" spans="1:20" ht="18" customHeight="1" x14ac:dyDescent="0.3">
      <c r="B13" s="151" t="s">
        <v>251</v>
      </c>
      <c r="C13" s="152">
        <v>64</v>
      </c>
      <c r="D13" s="152">
        <v>284</v>
      </c>
      <c r="E13" s="152">
        <v>128</v>
      </c>
      <c r="F13" s="152">
        <v>12</v>
      </c>
      <c r="G13" s="152">
        <v>35</v>
      </c>
      <c r="H13" s="152">
        <v>-176</v>
      </c>
      <c r="I13" s="152">
        <v>12</v>
      </c>
      <c r="J13" s="152">
        <v>-262</v>
      </c>
      <c r="K13" s="152">
        <v>-227</v>
      </c>
      <c r="L13" s="152">
        <v>75</v>
      </c>
      <c r="M13" s="152">
        <v>0</v>
      </c>
      <c r="N13" s="152">
        <v>0</v>
      </c>
      <c r="O13" s="152">
        <v>0</v>
      </c>
      <c r="P13" s="152">
        <v>0</v>
      </c>
      <c r="Q13" s="152">
        <v>0</v>
      </c>
      <c r="R13" s="152">
        <v>0</v>
      </c>
      <c r="S13" s="152">
        <v>0</v>
      </c>
      <c r="T13" s="152">
        <v>0</v>
      </c>
    </row>
    <row r="14" spans="1:20" ht="18" customHeight="1" x14ac:dyDescent="0.3">
      <c r="B14" s="1" t="s">
        <v>255</v>
      </c>
      <c r="C14" s="30">
        <f t="shared" ref="C14:P14" si="7">SUM(C11:C13)</f>
        <v>-227.3</v>
      </c>
      <c r="D14" s="30">
        <f t="shared" si="7"/>
        <v>103.89999999999998</v>
      </c>
      <c r="E14" s="30">
        <f t="shared" si="7"/>
        <v>-38.599999999999994</v>
      </c>
      <c r="F14" s="30">
        <f t="shared" si="7"/>
        <v>-193.4</v>
      </c>
      <c r="G14" s="30">
        <f t="shared" si="7"/>
        <v>-112.80000000000001</v>
      </c>
      <c r="H14" s="30">
        <f t="shared" si="7"/>
        <v>-303.60000000000002</v>
      </c>
      <c r="I14" s="30">
        <f t="shared" si="7"/>
        <v>-104.19999999999999</v>
      </c>
      <c r="J14" s="30">
        <f t="shared" si="7"/>
        <v>-318</v>
      </c>
      <c r="K14" s="30">
        <f t="shared" si="7"/>
        <v>-353</v>
      </c>
      <c r="L14" s="30">
        <f t="shared" si="7"/>
        <v>-39</v>
      </c>
      <c r="M14" s="30">
        <f t="shared" si="7"/>
        <v>-0.12545000000002915</v>
      </c>
      <c r="N14" s="30">
        <f t="shared" si="7"/>
        <v>-25.160540548184002</v>
      </c>
      <c r="O14" s="30">
        <f t="shared" si="7"/>
        <v>7.6913194295269705</v>
      </c>
      <c r="P14" s="30">
        <f t="shared" si="7"/>
        <v>6.8473987012160933</v>
      </c>
      <c r="Q14" s="30">
        <f t="shared" ref="Q14:T14" si="8">SUM(Q11:Q13)</f>
        <v>52.431884507663028</v>
      </c>
      <c r="R14" s="30">
        <f t="shared" si="8"/>
        <v>58.124502789953965</v>
      </c>
      <c r="S14" s="30">
        <f t="shared" si="8"/>
        <v>107.35364421632892</v>
      </c>
      <c r="T14" s="30">
        <f t="shared" si="8"/>
        <v>117.84252230724411</v>
      </c>
    </row>
    <row r="15" spans="1:20" ht="18" customHeight="1" x14ac:dyDescent="0.3">
      <c r="B15" t="s">
        <v>250</v>
      </c>
      <c r="C15" s="32">
        <v>-8.6</v>
      </c>
      <c r="D15" s="32">
        <v>0</v>
      </c>
      <c r="E15" s="32">
        <v>0</v>
      </c>
      <c r="F15" s="32">
        <v>-64.5</v>
      </c>
      <c r="G15" s="32">
        <v>-80.7</v>
      </c>
      <c r="H15" s="32">
        <v>-100.2</v>
      </c>
      <c r="I15" s="32">
        <v>-124</v>
      </c>
      <c r="J15" s="32">
        <v>-126</v>
      </c>
      <c r="K15" s="32">
        <v>-137</v>
      </c>
      <c r="L15" s="32">
        <v>-144</v>
      </c>
      <c r="M15" s="32">
        <f>'Working Schedules'!H9</f>
        <v>-154.08000000000001</v>
      </c>
      <c r="N15" s="32">
        <f>'Working Schedules'!I9</f>
        <v>-164.86560000000003</v>
      </c>
      <c r="O15" s="32">
        <f>'Working Schedules'!J9</f>
        <v>-176.40619200000003</v>
      </c>
      <c r="P15" s="32">
        <f>'Working Schedules'!K9</f>
        <v>-188.75462544000004</v>
      </c>
      <c r="Q15" s="32">
        <f>'Working Schedules'!L9</f>
        <v>-201.96744922080006</v>
      </c>
      <c r="R15" s="32">
        <f>'Working Schedules'!M9</f>
        <v>-216.10517066625607</v>
      </c>
      <c r="S15" s="32">
        <f>'Working Schedules'!N9</f>
        <v>-231.232532612894</v>
      </c>
      <c r="T15" s="32">
        <f>'Working Schedules'!O9</f>
        <v>-247.41880989579661</v>
      </c>
    </row>
    <row r="16" spans="1:20" ht="18" customHeight="1" x14ac:dyDescent="0.3">
      <c r="B16" t="s">
        <v>243</v>
      </c>
      <c r="C16" s="32">
        <v>-375.2</v>
      </c>
      <c r="D16" s="32">
        <v>-252.8</v>
      </c>
      <c r="E16" s="32">
        <v>-229.3</v>
      </c>
      <c r="F16" s="32">
        <v>-181.1</v>
      </c>
      <c r="G16" s="32">
        <v>-142</v>
      </c>
      <c r="H16" s="32">
        <v>-50.1</v>
      </c>
      <c r="I16" s="32">
        <v>-36.299999999999997</v>
      </c>
      <c r="J16" s="32">
        <v>-21</v>
      </c>
      <c r="K16" s="32">
        <v>-40</v>
      </c>
      <c r="L16" s="32">
        <v>-37</v>
      </c>
      <c r="M16" s="32">
        <f>PL!M17</f>
        <v>-95.837343050000001</v>
      </c>
      <c r="N16" s="32">
        <f>PL!N17</f>
        <v>-108.83715802450001</v>
      </c>
      <c r="O16" s="32">
        <f>PL!O17</f>
        <v>-123.13956750745999</v>
      </c>
      <c r="P16" s="32">
        <f>PL!P17</f>
        <v>-138.58163825347219</v>
      </c>
      <c r="Q16" s="32">
        <f>PL!Q17</f>
        <v>-155.02463292786149</v>
      </c>
      <c r="R16" s="32">
        <f>PL!R17</f>
        <v>-172.45339381522064</v>
      </c>
      <c r="S16" s="32">
        <f>PL!S17</f>
        <v>-190.92618372853218</v>
      </c>
      <c r="T16" s="32">
        <f>PL!T17</f>
        <v>-210.5046457242621</v>
      </c>
    </row>
    <row r="17" spans="1:20" ht="18" customHeight="1" x14ac:dyDescent="0.3">
      <c r="B17" t="s">
        <v>256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-284</v>
      </c>
      <c r="K17" s="32">
        <v>-355</v>
      </c>
      <c r="L17" s="32">
        <v>-1263</v>
      </c>
      <c r="M17" s="32">
        <f>-Assumptions!E11*PL!M22</f>
        <v>-1144.7874135517677</v>
      </c>
      <c r="N17" s="32">
        <f>-Assumptions!F11*PL!N22</f>
        <v>-1267.1380397763387</v>
      </c>
      <c r="O17" s="32">
        <f>-Assumptions!G11*PL!O22</f>
        <v>-1419.4834842917119</v>
      </c>
      <c r="P17" s="32">
        <f>-Assumptions!H11*PL!P22</f>
        <v>-1552.8282957338179</v>
      </c>
      <c r="Q17" s="32">
        <f>-Assumptions!I11*PL!Q22</f>
        <v>-1667.7608397659719</v>
      </c>
      <c r="R17" s="32">
        <f>-Assumptions!J11*PL!R22</f>
        <v>-1769.5791783478496</v>
      </c>
      <c r="S17" s="32">
        <f>-Assumptions!K11*PL!S22</f>
        <v>-1900.3871358559975</v>
      </c>
      <c r="T17" s="32">
        <f>-Assumptions!L11*PL!T22</f>
        <v>-2019.1153805297683</v>
      </c>
    </row>
    <row r="18" spans="1:20" ht="18" customHeight="1" x14ac:dyDescent="0.3">
      <c r="B18" s="151" t="s">
        <v>251</v>
      </c>
      <c r="C18" s="152">
        <v>-86.4</v>
      </c>
      <c r="D18" s="152">
        <v>-607.4</v>
      </c>
      <c r="E18" s="152">
        <v>-653.60000000000025</v>
      </c>
      <c r="F18" s="152">
        <v>-553.6</v>
      </c>
      <c r="G18" s="152">
        <v>-1471.8000000000013</v>
      </c>
      <c r="H18" s="152">
        <v>-324.89999999999998</v>
      </c>
      <c r="I18" s="152">
        <v>505.9</v>
      </c>
      <c r="J18" s="152">
        <v>359.9</v>
      </c>
      <c r="K18" s="152">
        <v>-27</v>
      </c>
      <c r="L18" s="152">
        <v>255</v>
      </c>
      <c r="M18" s="152">
        <v>0</v>
      </c>
      <c r="N18" s="152">
        <v>0</v>
      </c>
      <c r="O18" s="152">
        <v>0</v>
      </c>
      <c r="P18" s="152">
        <v>0</v>
      </c>
      <c r="Q18" s="152">
        <v>0</v>
      </c>
      <c r="R18" s="152">
        <v>0</v>
      </c>
      <c r="S18" s="152">
        <v>0</v>
      </c>
      <c r="T18" s="152">
        <v>0</v>
      </c>
    </row>
    <row r="19" spans="1:20" ht="18" customHeight="1" x14ac:dyDescent="0.3">
      <c r="B19" s="1" t="s">
        <v>262</v>
      </c>
      <c r="C19" s="30">
        <f t="shared" ref="C19:P19" si="9">SUM(C15:C18)</f>
        <v>-470.20000000000005</v>
      </c>
      <c r="D19" s="30">
        <f t="shared" si="9"/>
        <v>-860.2</v>
      </c>
      <c r="E19" s="30">
        <f t="shared" si="9"/>
        <v>-882.90000000000032</v>
      </c>
      <c r="F19" s="30">
        <f t="shared" si="9"/>
        <v>-799.2</v>
      </c>
      <c r="G19" s="30">
        <f t="shared" si="9"/>
        <v>-1694.5000000000014</v>
      </c>
      <c r="H19" s="30">
        <f t="shared" si="9"/>
        <v>-475.2</v>
      </c>
      <c r="I19" s="30">
        <f t="shared" si="9"/>
        <v>345.59999999999997</v>
      </c>
      <c r="J19" s="30">
        <f t="shared" si="9"/>
        <v>-71.100000000000023</v>
      </c>
      <c r="K19" s="30">
        <f t="shared" si="9"/>
        <v>-559</v>
      </c>
      <c r="L19" s="30">
        <f t="shared" si="9"/>
        <v>-1189</v>
      </c>
      <c r="M19" s="30">
        <f t="shared" si="9"/>
        <v>-1394.7047566017677</v>
      </c>
      <c r="N19" s="30">
        <f t="shared" si="9"/>
        <v>-1540.8407978008388</v>
      </c>
      <c r="O19" s="30">
        <f t="shared" si="9"/>
        <v>-1719.029243799172</v>
      </c>
      <c r="P19" s="30">
        <f t="shared" si="9"/>
        <v>-1880.16455942729</v>
      </c>
      <c r="Q19" s="30">
        <f t="shared" ref="Q19:T19" si="10">SUM(Q15:Q18)</f>
        <v>-2024.7529219146336</v>
      </c>
      <c r="R19" s="30">
        <f t="shared" si="10"/>
        <v>-2158.1377428293263</v>
      </c>
      <c r="S19" s="30">
        <f t="shared" si="10"/>
        <v>-2322.5458521974238</v>
      </c>
      <c r="T19" s="30">
        <f t="shared" si="10"/>
        <v>-2477.0388361498271</v>
      </c>
    </row>
    <row r="20" spans="1:20" ht="18" customHeight="1" x14ac:dyDescent="0.3">
      <c r="A20" t="s">
        <v>15</v>
      </c>
      <c r="B20" s="1" t="s">
        <v>252</v>
      </c>
      <c r="C20" s="30">
        <f t="shared" ref="C20:P20" si="11">C10+C14+C19</f>
        <v>-50.699999999999989</v>
      </c>
      <c r="D20" s="30">
        <f t="shared" si="11"/>
        <v>168.79999999999995</v>
      </c>
      <c r="E20" s="30">
        <f t="shared" si="11"/>
        <v>26.799999999999613</v>
      </c>
      <c r="F20" s="30">
        <f t="shared" si="11"/>
        <v>-209.39999999999975</v>
      </c>
      <c r="G20" s="30">
        <f t="shared" si="11"/>
        <v>10.399999999998954</v>
      </c>
      <c r="H20" s="30">
        <f t="shared" si="11"/>
        <v>198.60000000000031</v>
      </c>
      <c r="I20" s="30">
        <f t="shared" si="11"/>
        <v>856.59999999999991</v>
      </c>
      <c r="J20" s="30">
        <f t="shared" si="11"/>
        <v>728.90000000000043</v>
      </c>
      <c r="K20" s="30">
        <f t="shared" si="11"/>
        <v>1035</v>
      </c>
      <c r="L20" s="30">
        <f t="shared" si="11"/>
        <v>231</v>
      </c>
      <c r="M20" s="30">
        <f t="shared" si="11"/>
        <v>-102.92153920283044</v>
      </c>
      <c r="N20" s="30">
        <f t="shared" si="11"/>
        <v>778.86632642632298</v>
      </c>
      <c r="O20" s="30">
        <f t="shared" si="11"/>
        <v>245.42977989983274</v>
      </c>
      <c r="P20" s="30">
        <f t="shared" si="11"/>
        <v>958.05172979944473</v>
      </c>
      <c r="Q20" s="30">
        <f t="shared" ref="Q20:T20" si="12">Q10+Q14+Q19</f>
        <v>361.01956759679388</v>
      </c>
      <c r="R20" s="30">
        <f t="shared" si="12"/>
        <v>1048.5858849634319</v>
      </c>
      <c r="S20" s="30">
        <f t="shared" si="12"/>
        <v>471.51077474491422</v>
      </c>
      <c r="T20" s="30">
        <f t="shared" si="12"/>
        <v>1164.9323112535412</v>
      </c>
    </row>
    <row r="21" spans="1:20" ht="18" customHeight="1" x14ac:dyDescent="0.3">
      <c r="B21" s="151" t="s">
        <v>253</v>
      </c>
      <c r="C21" s="149">
        <v>138</v>
      </c>
      <c r="D21" s="150">
        <f>C22</f>
        <v>87.300000000000011</v>
      </c>
      <c r="E21" s="150">
        <f t="shared" ref="E21:K21" si="13">D22</f>
        <v>256.09999999999997</v>
      </c>
      <c r="F21" s="150">
        <f t="shared" si="13"/>
        <v>282.89999999999958</v>
      </c>
      <c r="G21" s="150">
        <f t="shared" si="13"/>
        <v>73.499999999999829</v>
      </c>
      <c r="H21" s="150">
        <f t="shared" si="13"/>
        <v>83.899999999998784</v>
      </c>
      <c r="I21" s="150">
        <f t="shared" si="13"/>
        <v>282.49999999999909</v>
      </c>
      <c r="J21" s="150">
        <f t="shared" si="13"/>
        <v>1139.099999999999</v>
      </c>
      <c r="K21" s="150">
        <f t="shared" si="13"/>
        <v>1867.9999999999995</v>
      </c>
      <c r="L21" s="150">
        <f>K22</f>
        <v>2902.9999999999995</v>
      </c>
      <c r="M21" s="150">
        <f>L22</f>
        <v>3133.9999999999995</v>
      </c>
      <c r="N21" s="150">
        <f t="shared" ref="N21:P21" si="14">M22</f>
        <v>3031.0784607971691</v>
      </c>
      <c r="O21" s="150">
        <f t="shared" si="14"/>
        <v>3809.9447872234923</v>
      </c>
      <c r="P21" s="150">
        <f t="shared" si="14"/>
        <v>4055.3745671233251</v>
      </c>
      <c r="Q21" s="150">
        <f t="shared" ref="Q21" si="15">P22</f>
        <v>5013.4262969227693</v>
      </c>
      <c r="R21" s="150">
        <f t="shared" ref="R21" si="16">Q22</f>
        <v>5374.4458645195627</v>
      </c>
      <c r="S21" s="150">
        <f t="shared" ref="S21" si="17">R22</f>
        <v>6423.0317494829942</v>
      </c>
      <c r="T21" s="150">
        <f t="shared" ref="T21" si="18">S22</f>
        <v>6894.5425242279089</v>
      </c>
    </row>
    <row r="22" spans="1:20" ht="18" customHeight="1" x14ac:dyDescent="0.3">
      <c r="A22" t="s">
        <v>15</v>
      </c>
      <c r="B22" s="1" t="s">
        <v>254</v>
      </c>
      <c r="C22" s="30">
        <f>C20+C21</f>
        <v>87.300000000000011</v>
      </c>
      <c r="D22" s="30">
        <f t="shared" ref="D22:L22" si="19">D20+D21</f>
        <v>256.09999999999997</v>
      </c>
      <c r="E22" s="30">
        <f t="shared" si="19"/>
        <v>282.89999999999958</v>
      </c>
      <c r="F22" s="30">
        <f t="shared" si="19"/>
        <v>73.499999999999829</v>
      </c>
      <c r="G22" s="30">
        <f t="shared" si="19"/>
        <v>83.899999999998784</v>
      </c>
      <c r="H22" s="30">
        <f t="shared" si="19"/>
        <v>282.49999999999909</v>
      </c>
      <c r="I22" s="30">
        <f t="shared" si="19"/>
        <v>1139.099999999999</v>
      </c>
      <c r="J22" s="30">
        <f t="shared" si="19"/>
        <v>1867.9999999999995</v>
      </c>
      <c r="K22" s="30">
        <f t="shared" si="19"/>
        <v>2902.9999999999995</v>
      </c>
      <c r="L22" s="30">
        <f t="shared" si="19"/>
        <v>3133.9999999999995</v>
      </c>
      <c r="M22" s="30">
        <f>M20+M21</f>
        <v>3031.0784607971691</v>
      </c>
      <c r="N22" s="30">
        <f t="shared" ref="N22" si="20">N20+N21</f>
        <v>3809.9447872234923</v>
      </c>
      <c r="O22" s="30">
        <f t="shared" ref="O22" si="21">O20+O21</f>
        <v>4055.3745671233251</v>
      </c>
      <c r="P22" s="30">
        <f t="shared" ref="P22:T22" si="22">P20+P21</f>
        <v>5013.4262969227693</v>
      </c>
      <c r="Q22" s="30">
        <f t="shared" si="22"/>
        <v>5374.4458645195627</v>
      </c>
      <c r="R22" s="30">
        <f t="shared" si="22"/>
        <v>6423.0317494829942</v>
      </c>
      <c r="S22" s="30">
        <f t="shared" si="22"/>
        <v>6894.5425242279089</v>
      </c>
      <c r="T22" s="30">
        <f t="shared" si="22"/>
        <v>8059.4748354814501</v>
      </c>
    </row>
    <row r="28" spans="1:20" ht="18" customHeight="1" x14ac:dyDescent="0.3">
      <c r="B28" s="96"/>
    </row>
    <row r="29" spans="1:20" ht="18" customHeight="1" x14ac:dyDescent="0.3">
      <c r="B29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FD69-BFAF-46B2-8C7F-B01429E0BDEA}">
  <dimension ref="B2:N27"/>
  <sheetViews>
    <sheetView showGridLines="0" topLeftCell="A9" workbookViewId="0">
      <selection activeCell="G11" sqref="G11"/>
    </sheetView>
  </sheetViews>
  <sheetFormatPr defaultRowHeight="14.4" x14ac:dyDescent="0.3"/>
  <cols>
    <col min="2" max="2" width="17.21875" bestFit="1" customWidth="1"/>
    <col min="5" max="12" width="12.77734375" customWidth="1"/>
    <col min="14" max="14" width="36.77734375" bestFit="1" customWidth="1"/>
  </cols>
  <sheetData>
    <row r="2" spans="2:14" ht="21" x14ac:dyDescent="0.4">
      <c r="B2" s="45" t="s">
        <v>39</v>
      </c>
    </row>
    <row r="4" spans="2:14" x14ac:dyDescent="0.3">
      <c r="B4" s="269" t="s">
        <v>17</v>
      </c>
      <c r="C4" s="120"/>
      <c r="D4" s="120"/>
      <c r="E4" s="24">
        <v>2027</v>
      </c>
      <c r="F4" s="24">
        <f>E4+1</f>
        <v>2028</v>
      </c>
      <c r="G4" s="24">
        <f t="shared" ref="G4:H4" si="0">F4+1</f>
        <v>2029</v>
      </c>
      <c r="H4" s="24">
        <f t="shared" si="0"/>
        <v>2030</v>
      </c>
      <c r="I4" s="24">
        <f t="shared" ref="I4" si="1">H4+1</f>
        <v>2031</v>
      </c>
      <c r="J4" s="24">
        <f t="shared" ref="J4" si="2">I4+1</f>
        <v>2032</v>
      </c>
      <c r="K4" s="24">
        <f t="shared" ref="K4" si="3">J4+1</f>
        <v>2033</v>
      </c>
      <c r="L4" s="24">
        <f t="shared" ref="L4" si="4">K4+1</f>
        <v>2034</v>
      </c>
      <c r="M4" s="24"/>
      <c r="N4" s="287"/>
    </row>
    <row r="5" spans="2:14" x14ac:dyDescent="0.3">
      <c r="B5" s="273"/>
      <c r="N5" s="274"/>
    </row>
    <row r="6" spans="2:14" x14ac:dyDescent="0.3">
      <c r="B6" s="273" t="s">
        <v>107</v>
      </c>
      <c r="N6" s="274"/>
    </row>
    <row r="7" spans="2:14" ht="14.4" customHeight="1" x14ac:dyDescent="0.3">
      <c r="B7" s="273" t="s">
        <v>40</v>
      </c>
      <c r="E7" s="288">
        <v>6.2545549545059143E-2</v>
      </c>
      <c r="F7" s="288">
        <v>6.2545549545059143E-2</v>
      </c>
      <c r="G7" s="288">
        <v>6.2545549545059143E-2</v>
      </c>
      <c r="H7" s="288">
        <v>6.2545549545059143E-2</v>
      </c>
      <c r="I7" s="288">
        <v>6.2545549545059143E-2</v>
      </c>
      <c r="J7" s="288">
        <v>6.2545549545059143E-2</v>
      </c>
      <c r="K7" s="288">
        <v>6.2545549545059143E-2</v>
      </c>
      <c r="L7" s="288">
        <v>6.2545549545059143E-2</v>
      </c>
      <c r="M7" s="288"/>
      <c r="N7" s="289" t="s">
        <v>125</v>
      </c>
    </row>
    <row r="8" spans="2:14" x14ac:dyDescent="0.3">
      <c r="B8" s="273" t="s">
        <v>41</v>
      </c>
      <c r="E8" s="288">
        <v>0.20499999999999999</v>
      </c>
      <c r="F8" s="288">
        <v>0.20499999999999999</v>
      </c>
      <c r="G8" s="288">
        <v>0.20499999999999999</v>
      </c>
      <c r="H8" s="288">
        <v>0.20499999999999999</v>
      </c>
      <c r="I8" s="288">
        <v>0.20499999999999999</v>
      </c>
      <c r="J8" s="288">
        <v>0.20499999999999999</v>
      </c>
      <c r="K8" s="288">
        <v>0.20499999999999999</v>
      </c>
      <c r="L8" s="288">
        <v>0.20499999999999999</v>
      </c>
      <c r="M8" s="288"/>
      <c r="N8" s="289" t="s">
        <v>125</v>
      </c>
    </row>
    <row r="9" spans="2:14" x14ac:dyDescent="0.3">
      <c r="B9" s="273" t="s">
        <v>232</v>
      </c>
      <c r="E9" s="25">
        <v>6.5000000000000002E-2</v>
      </c>
      <c r="F9" s="25">
        <v>6.5000000000000002E-2</v>
      </c>
      <c r="G9" s="25">
        <v>6.5000000000000002E-2</v>
      </c>
      <c r="H9" s="25">
        <v>6.5000000000000002E-2</v>
      </c>
      <c r="I9" s="25">
        <v>6.5000000000000002E-2</v>
      </c>
      <c r="J9" s="25">
        <v>6.5000000000000002E-2</v>
      </c>
      <c r="K9" s="25">
        <v>6.5000000000000002E-2</v>
      </c>
      <c r="L9" s="25">
        <v>6.5000000000000002E-2</v>
      </c>
      <c r="M9" s="25"/>
      <c r="N9" s="289" t="s">
        <v>233</v>
      </c>
    </row>
    <row r="10" spans="2:14" x14ac:dyDescent="0.3">
      <c r="B10" s="273" t="s">
        <v>234</v>
      </c>
      <c r="E10" s="25">
        <v>0.25</v>
      </c>
      <c r="F10" s="25">
        <v>0.25</v>
      </c>
      <c r="G10" s="25">
        <v>0.25</v>
      </c>
      <c r="H10" s="25">
        <v>0.25</v>
      </c>
      <c r="I10" s="25">
        <v>0.25</v>
      </c>
      <c r="J10" s="25">
        <v>0.25</v>
      </c>
      <c r="K10" s="25">
        <v>0.25</v>
      </c>
      <c r="L10" s="25">
        <v>0.25</v>
      </c>
      <c r="M10" s="25"/>
      <c r="N10" s="289"/>
    </row>
    <row r="11" spans="2:14" x14ac:dyDescent="0.3">
      <c r="B11" s="273" t="s">
        <v>235</v>
      </c>
      <c r="E11" s="25">
        <v>0.67</v>
      </c>
      <c r="F11" s="25">
        <v>0.67</v>
      </c>
      <c r="G11" s="25">
        <v>0.67</v>
      </c>
      <c r="H11" s="25">
        <v>0.67</v>
      </c>
      <c r="I11" s="25">
        <v>0.67</v>
      </c>
      <c r="J11" s="25">
        <v>0.67</v>
      </c>
      <c r="K11" s="25">
        <v>0.67</v>
      </c>
      <c r="L11" s="25">
        <v>0.67</v>
      </c>
      <c r="M11" s="25"/>
      <c r="N11" s="289" t="s">
        <v>236</v>
      </c>
    </row>
    <row r="12" spans="2:14" x14ac:dyDescent="0.3">
      <c r="B12" s="290" t="s">
        <v>192</v>
      </c>
      <c r="E12" s="141">
        <v>1.4999999999999999E-2</v>
      </c>
      <c r="F12" s="141">
        <v>1.4999999999999999E-2</v>
      </c>
      <c r="G12" s="141">
        <v>1.4999999999999999E-2</v>
      </c>
      <c r="H12" s="141">
        <v>1.4999999999999999E-2</v>
      </c>
      <c r="I12" s="141">
        <v>1.4999999999999999E-2</v>
      </c>
      <c r="J12" s="141">
        <v>1.4999999999999999E-2</v>
      </c>
      <c r="K12" s="141">
        <v>1.4999999999999999E-2</v>
      </c>
      <c r="L12" s="141">
        <v>1.4999999999999999E-2</v>
      </c>
      <c r="M12" s="141"/>
      <c r="N12" s="289" t="s">
        <v>182</v>
      </c>
    </row>
    <row r="13" spans="2:14" x14ac:dyDescent="0.3">
      <c r="B13" s="290" t="s">
        <v>189</v>
      </c>
      <c r="E13" s="141">
        <v>1.4E-2</v>
      </c>
      <c r="F13" s="141">
        <v>1.4E-2</v>
      </c>
      <c r="G13" s="141">
        <v>1.4E-2</v>
      </c>
      <c r="H13" s="141">
        <v>1.4E-2</v>
      </c>
      <c r="I13" s="141">
        <v>1.4E-2</v>
      </c>
      <c r="J13" s="141">
        <v>1.4E-2</v>
      </c>
      <c r="K13" s="141">
        <v>1.4E-2</v>
      </c>
      <c r="L13" s="141">
        <v>1.4E-2</v>
      </c>
      <c r="M13" s="141"/>
      <c r="N13" s="289" t="s">
        <v>156</v>
      </c>
    </row>
    <row r="14" spans="2:14" x14ac:dyDescent="0.3">
      <c r="B14" s="290" t="s">
        <v>193</v>
      </c>
      <c r="E14" s="141">
        <v>0.04</v>
      </c>
      <c r="F14" s="141">
        <v>0.04</v>
      </c>
      <c r="G14" s="141">
        <v>0.04</v>
      </c>
      <c r="H14" s="141">
        <v>0.04</v>
      </c>
      <c r="I14" s="141">
        <v>0.04</v>
      </c>
      <c r="J14" s="141">
        <v>0.04</v>
      </c>
      <c r="K14" s="141">
        <v>0.04</v>
      </c>
      <c r="L14" s="141">
        <v>0.04</v>
      </c>
      <c r="M14" s="141"/>
      <c r="N14" s="289" t="s">
        <v>182</v>
      </c>
    </row>
    <row r="15" spans="2:14" x14ac:dyDescent="0.3">
      <c r="B15" s="291" t="s">
        <v>151</v>
      </c>
      <c r="E15" s="288">
        <v>2.1999999999999999E-2</v>
      </c>
      <c r="F15" s="288">
        <v>2.1999999999999999E-2</v>
      </c>
      <c r="G15" s="288">
        <v>2.1999999999999999E-2</v>
      </c>
      <c r="H15" s="288">
        <v>2.1999999999999999E-2</v>
      </c>
      <c r="I15" s="288">
        <v>2.1999999999999999E-2</v>
      </c>
      <c r="J15" s="288">
        <v>2.1999999999999999E-2</v>
      </c>
      <c r="K15" s="288">
        <v>2.1999999999999999E-2</v>
      </c>
      <c r="L15" s="288">
        <v>2.1999999999999999E-2</v>
      </c>
      <c r="M15" s="288"/>
      <c r="N15" s="289" t="s">
        <v>156</v>
      </c>
    </row>
    <row r="16" spans="2:14" x14ac:dyDescent="0.3">
      <c r="B16" s="291" t="s">
        <v>152</v>
      </c>
      <c r="E16" s="288">
        <v>0.3</v>
      </c>
      <c r="F16" s="288">
        <v>0.3</v>
      </c>
      <c r="G16" s="288">
        <v>0.3</v>
      </c>
      <c r="H16" s="288">
        <v>0.3</v>
      </c>
      <c r="I16" s="288">
        <v>0.3</v>
      </c>
      <c r="J16" s="288">
        <v>0.3</v>
      </c>
      <c r="K16" s="288">
        <v>0.3</v>
      </c>
      <c r="L16" s="288">
        <v>0.3</v>
      </c>
      <c r="M16" s="288"/>
      <c r="N16" s="289"/>
    </row>
    <row r="17" spans="2:14" x14ac:dyDescent="0.3">
      <c r="B17" s="273" t="s">
        <v>163</v>
      </c>
      <c r="E17" s="292">
        <v>16</v>
      </c>
      <c r="F17" s="292">
        <v>16</v>
      </c>
      <c r="G17" s="292">
        <v>16</v>
      </c>
      <c r="H17" s="292">
        <v>16</v>
      </c>
      <c r="I17" s="292">
        <v>16</v>
      </c>
      <c r="J17" s="292">
        <v>16</v>
      </c>
      <c r="K17" s="292">
        <v>16</v>
      </c>
      <c r="L17" s="292">
        <v>16</v>
      </c>
      <c r="M17" s="292"/>
      <c r="N17" s="289" t="s">
        <v>164</v>
      </c>
    </row>
    <row r="18" spans="2:14" x14ac:dyDescent="0.3">
      <c r="B18" s="273" t="s">
        <v>166</v>
      </c>
      <c r="E18" s="25">
        <v>7.0000000000000007E-2</v>
      </c>
      <c r="F18" s="25">
        <v>7.0000000000000007E-2</v>
      </c>
      <c r="G18" s="25">
        <v>7.0000000000000007E-2</v>
      </c>
      <c r="H18" s="25">
        <v>7.0000000000000007E-2</v>
      </c>
      <c r="I18" s="25">
        <v>7.0000000000000007E-2</v>
      </c>
      <c r="J18" s="25">
        <v>7.0000000000000007E-2</v>
      </c>
      <c r="K18" s="25">
        <v>7.0000000000000007E-2</v>
      </c>
      <c r="L18" s="25">
        <v>7.0000000000000007E-2</v>
      </c>
      <c r="M18" s="41"/>
      <c r="N18" s="289" t="s">
        <v>167</v>
      </c>
    </row>
    <row r="19" spans="2:14" x14ac:dyDescent="0.3">
      <c r="B19" s="273" t="s">
        <v>170</v>
      </c>
      <c r="E19" s="296">
        <v>8.5000000000000006E-2</v>
      </c>
      <c r="F19" s="296">
        <v>8.5000000000000006E-2</v>
      </c>
      <c r="G19" s="296">
        <v>8.5000000000000006E-2</v>
      </c>
      <c r="H19" s="296">
        <v>8.5000000000000006E-2</v>
      </c>
      <c r="I19" s="296">
        <v>8.5000000000000006E-2</v>
      </c>
      <c r="J19" s="296">
        <v>8.5000000000000006E-2</v>
      </c>
      <c r="K19" s="296">
        <v>8.5000000000000006E-2</v>
      </c>
      <c r="L19" s="296">
        <v>8.5000000000000006E-2</v>
      </c>
      <c r="M19" s="8"/>
      <c r="N19" s="289" t="s">
        <v>171</v>
      </c>
    </row>
    <row r="20" spans="2:14" x14ac:dyDescent="0.3">
      <c r="B20" s="273" t="s">
        <v>180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41"/>
      <c r="N20" s="289"/>
    </row>
    <row r="21" spans="2:14" x14ac:dyDescent="0.3">
      <c r="B21" s="273" t="s">
        <v>181</v>
      </c>
      <c r="E21" s="44">
        <v>55</v>
      </c>
      <c r="F21" s="44">
        <v>55</v>
      </c>
      <c r="G21" s="44">
        <v>55</v>
      </c>
      <c r="H21" s="44">
        <v>55</v>
      </c>
      <c r="I21" s="44">
        <v>55</v>
      </c>
      <c r="J21" s="44">
        <v>55</v>
      </c>
      <c r="K21" s="44">
        <v>55</v>
      </c>
      <c r="L21" s="44">
        <v>55</v>
      </c>
      <c r="N21" s="289" t="s">
        <v>182</v>
      </c>
    </row>
    <row r="22" spans="2:14" x14ac:dyDescent="0.3">
      <c r="B22" s="273" t="s">
        <v>0</v>
      </c>
      <c r="E22" s="44">
        <v>104</v>
      </c>
      <c r="F22" s="44">
        <v>104</v>
      </c>
      <c r="G22" s="44">
        <v>104</v>
      </c>
      <c r="H22" s="44">
        <v>104</v>
      </c>
      <c r="I22" s="44">
        <v>104</v>
      </c>
      <c r="J22" s="44">
        <v>104</v>
      </c>
      <c r="K22" s="44">
        <v>104</v>
      </c>
      <c r="L22" s="44">
        <v>104</v>
      </c>
      <c r="N22" s="289" t="s">
        <v>231</v>
      </c>
    </row>
    <row r="23" spans="2:14" x14ac:dyDescent="0.3">
      <c r="B23" s="273" t="s">
        <v>209</v>
      </c>
      <c r="E23" s="296">
        <v>4.3999999999999997E-2</v>
      </c>
      <c r="F23" s="296">
        <v>4.3999999999999997E-2</v>
      </c>
      <c r="G23" s="296">
        <v>4.3999999999999997E-2</v>
      </c>
      <c r="H23" s="296">
        <v>4.3999999999999997E-2</v>
      </c>
      <c r="I23" s="296">
        <v>4.3999999999999997E-2</v>
      </c>
      <c r="J23" s="296">
        <v>4.3999999999999997E-2</v>
      </c>
      <c r="K23" s="296">
        <v>4.3999999999999997E-2</v>
      </c>
      <c r="L23" s="296">
        <v>4.3999999999999997E-2</v>
      </c>
      <c r="M23" s="8"/>
      <c r="N23" s="289" t="s">
        <v>217</v>
      </c>
    </row>
    <row r="24" spans="2:14" x14ac:dyDescent="0.3">
      <c r="B24" s="273" t="s">
        <v>211</v>
      </c>
      <c r="E24" s="25">
        <v>0.16</v>
      </c>
      <c r="F24" s="25">
        <v>0.16</v>
      </c>
      <c r="G24" s="25">
        <v>0.16</v>
      </c>
      <c r="H24" s="25">
        <v>0.16</v>
      </c>
      <c r="I24" s="25">
        <v>0.16</v>
      </c>
      <c r="J24" s="25">
        <v>0.16</v>
      </c>
      <c r="K24" s="25">
        <v>0.16</v>
      </c>
      <c r="L24" s="25">
        <v>0.16</v>
      </c>
      <c r="M24" s="41"/>
      <c r="N24" s="289" t="s">
        <v>210</v>
      </c>
    </row>
    <row r="25" spans="2:14" x14ac:dyDescent="0.3">
      <c r="B25" s="273" t="s">
        <v>228</v>
      </c>
      <c r="E25" s="44">
        <v>97</v>
      </c>
      <c r="F25" s="44">
        <v>97</v>
      </c>
      <c r="G25" s="44">
        <v>97</v>
      </c>
      <c r="H25" s="44">
        <v>97</v>
      </c>
      <c r="I25" s="44">
        <v>97</v>
      </c>
      <c r="J25" s="44">
        <v>97</v>
      </c>
      <c r="K25" s="44">
        <v>97</v>
      </c>
      <c r="L25" s="44">
        <v>97</v>
      </c>
      <c r="N25" s="289" t="s">
        <v>229</v>
      </c>
    </row>
    <row r="26" spans="2:14" x14ac:dyDescent="0.3">
      <c r="B26" s="273" t="s">
        <v>184</v>
      </c>
      <c r="E26" s="44">
        <v>135</v>
      </c>
      <c r="F26" s="44">
        <v>135</v>
      </c>
      <c r="G26" s="44">
        <v>135</v>
      </c>
      <c r="H26" s="44">
        <v>135</v>
      </c>
      <c r="I26" s="44">
        <v>135</v>
      </c>
      <c r="J26" s="44">
        <v>135</v>
      </c>
      <c r="K26" s="44">
        <v>135</v>
      </c>
      <c r="L26" s="44">
        <v>135</v>
      </c>
      <c r="N26" s="289" t="s">
        <v>229</v>
      </c>
    </row>
    <row r="27" spans="2:14" x14ac:dyDescent="0.3">
      <c r="B27" s="293" t="s">
        <v>230</v>
      </c>
      <c r="C27" s="151"/>
      <c r="D27" s="151"/>
      <c r="E27" s="297">
        <v>5.5E-2</v>
      </c>
      <c r="F27" s="297">
        <v>5.5E-2</v>
      </c>
      <c r="G27" s="297">
        <v>5.5E-2</v>
      </c>
      <c r="H27" s="297">
        <v>5.5E-2</v>
      </c>
      <c r="I27" s="297">
        <v>5.5E-2</v>
      </c>
      <c r="J27" s="297">
        <v>5.5E-2</v>
      </c>
      <c r="K27" s="297">
        <v>5.5E-2</v>
      </c>
      <c r="L27" s="297">
        <v>5.5E-2</v>
      </c>
      <c r="M27" s="294"/>
      <c r="N27" s="295" t="s">
        <v>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7B92-C85A-47C1-AC2B-8C75461A235D}">
  <dimension ref="A1:T2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W30" sqref="W30"/>
    </sheetView>
  </sheetViews>
  <sheetFormatPr defaultRowHeight="14.4" x14ac:dyDescent="0.3"/>
  <cols>
    <col min="1" max="1" width="2.77734375" customWidth="1"/>
    <col min="2" max="2" width="50.77734375" customWidth="1"/>
    <col min="3" max="16" width="12.77734375" style="32" customWidth="1"/>
    <col min="17" max="20" width="12.77734375" customWidth="1"/>
  </cols>
  <sheetData>
    <row r="1" spans="1:20" x14ac:dyDescent="0.3">
      <c r="A1" s="7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20" ht="21" x14ac:dyDescent="0.4">
      <c r="B2" s="45" t="s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T2" s="246" t="str">
        <f>PL!T2</f>
        <v>CURRENTLY RUNNING: BASE SCENARIO</v>
      </c>
    </row>
    <row r="3" spans="1:20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20" x14ac:dyDescent="0.3"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0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20" x14ac:dyDescent="0.3">
      <c r="B6" t="s">
        <v>142</v>
      </c>
      <c r="C6" s="33">
        <f>PL!C5</f>
        <v>8817.5</v>
      </c>
      <c r="D6" s="33">
        <f>PL!D5</f>
        <v>8590.6</v>
      </c>
      <c r="E6" s="33">
        <f>PL!E5</f>
        <v>9340.7999999999993</v>
      </c>
      <c r="F6" s="33">
        <f>PL!F5</f>
        <v>9325.4</v>
      </c>
      <c r="G6" s="33">
        <f>PL!G5</f>
        <v>8131.3</v>
      </c>
      <c r="H6" s="33">
        <f>PL!H5</f>
        <v>9712.4</v>
      </c>
      <c r="I6" s="33">
        <f>PL!I5</f>
        <v>10612</v>
      </c>
      <c r="J6" s="33">
        <f>PL!J5</f>
        <v>11321</v>
      </c>
      <c r="K6" s="33">
        <f>PL!K5</f>
        <v>12069</v>
      </c>
      <c r="L6" s="33">
        <f>PL!L5</f>
        <v>12467</v>
      </c>
      <c r="M6" s="33">
        <f>PL!M5</f>
        <v>13589.03</v>
      </c>
      <c r="N6" s="33">
        <f>PL!N5</f>
        <v>14812.042700000002</v>
      </c>
      <c r="O6" s="33">
        <f>PL!O5</f>
        <v>15997.006116000002</v>
      </c>
      <c r="P6" s="33">
        <f>PL!P5</f>
        <v>17116.796544120003</v>
      </c>
      <c r="Q6" s="33">
        <f>PL!Q5</f>
        <v>18229.388319487804</v>
      </c>
      <c r="R6" s="33">
        <f>PL!R5</f>
        <v>19414.298560254509</v>
      </c>
      <c r="S6" s="33">
        <f>PL!S5</f>
        <v>20676.227966671049</v>
      </c>
      <c r="T6" s="33">
        <f>PL!T5</f>
        <v>22020.182784504665</v>
      </c>
    </row>
    <row r="7" spans="1:20" x14ac:dyDescent="0.3">
      <c r="B7" t="s">
        <v>213</v>
      </c>
      <c r="C7" s="33">
        <f>-PL!C6</f>
        <v>5151.3</v>
      </c>
      <c r="D7" s="33">
        <f>-PL!D6</f>
        <v>4557.3</v>
      </c>
      <c r="E7" s="33">
        <f>-PL!E6</f>
        <v>4966.3999999999996</v>
      </c>
      <c r="F7" s="33">
        <f>-PL!F6</f>
        <v>5370</v>
      </c>
      <c r="G7" s="33">
        <f>-PL!G6</f>
        <v>4807.5</v>
      </c>
      <c r="H7" s="33">
        <f>-PL!H6</f>
        <v>5680.9</v>
      </c>
      <c r="I7" s="33">
        <f>-PL!I6</f>
        <v>6503</v>
      </c>
      <c r="J7" s="33">
        <f>-PL!J6</f>
        <v>6542</v>
      </c>
      <c r="K7" s="33">
        <f>-PL!K6</f>
        <v>6860</v>
      </c>
      <c r="L7" s="33">
        <f>-PL!L6</f>
        <v>6674</v>
      </c>
      <c r="M7" s="33">
        <f>-PL!M6</f>
        <v>7406.0213499999991</v>
      </c>
      <c r="N7" s="33">
        <f>-PL!N6</f>
        <v>7998.5030580000011</v>
      </c>
      <c r="O7" s="33">
        <f>-PL!O6</f>
        <v>8558.3982720599997</v>
      </c>
      <c r="P7" s="33">
        <f>-PL!P6</f>
        <v>9071.9021683836017</v>
      </c>
      <c r="Q7" s="33">
        <f>-PL!Q6</f>
        <v>9661.5758093285367</v>
      </c>
      <c r="R7" s="33">
        <f>-PL!R6</f>
        <v>10289.578236934891</v>
      </c>
      <c r="S7" s="33">
        <f>-PL!S6</f>
        <v>10958.400822335656</v>
      </c>
      <c r="T7" s="33">
        <f>-PL!T6</f>
        <v>11670.696875787473</v>
      </c>
    </row>
    <row r="8" spans="1:20" x14ac:dyDescent="0.3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x14ac:dyDescent="0.3">
      <c r="B9" t="s">
        <v>214</v>
      </c>
      <c r="C9" s="33">
        <f>BS!C40</f>
        <v>2953.4</v>
      </c>
      <c r="D9" s="33">
        <f>BS!D40</f>
        <v>2711.2</v>
      </c>
      <c r="E9" s="33">
        <f>BS!E40</f>
        <v>2542.5</v>
      </c>
      <c r="F9" s="33">
        <f>BS!F40</f>
        <v>2283.5</v>
      </c>
      <c r="G9" s="33">
        <f>BS!G40</f>
        <v>2187.1999999999998</v>
      </c>
      <c r="H9" s="33">
        <f>BS!H40</f>
        <v>2373.6</v>
      </c>
      <c r="I9" s="33">
        <f>BS!I40</f>
        <v>2434</v>
      </c>
      <c r="J9" s="33">
        <f>BS!J40</f>
        <v>3056</v>
      </c>
      <c r="K9" s="33">
        <f>BS!K40</f>
        <v>3410</v>
      </c>
      <c r="L9" s="33">
        <f>BS!L40</f>
        <v>3609</v>
      </c>
      <c r="M9" s="32">
        <f>(2*(M6*Assumptions!E25)/365)-L9</f>
        <v>3613.6625205479459</v>
      </c>
      <c r="N9" s="32">
        <f>(2*(N6*Assumptions!F25)/365)-M9</f>
        <v>4259.039626849315</v>
      </c>
      <c r="O9" s="32">
        <f>(2*(O6*Assumptions!G25)/365)-N9</f>
        <v>4243.4786923397278</v>
      </c>
      <c r="P9" s="32">
        <f>(2*(P6*Assumptions!H25)/365)-O9</f>
        <v>4854.2159091925478</v>
      </c>
      <c r="Q9" s="32">
        <f>(2*(Q6*Assumptions!I25)/365)-P9</f>
        <v>4834.8288414393264</v>
      </c>
      <c r="R9" s="32">
        <f>(2*(R6*Assumptions!J25)/365)-Q9</f>
        <v>5484.0038179836174</v>
      </c>
      <c r="S9" s="32">
        <f>(2*(S6*Assumptions!K25)/365)-R9</f>
        <v>5505.5529643018162</v>
      </c>
      <c r="T9" s="32">
        <f>(2*(T6*Assumptions!L25)/365)-S9</f>
        <v>6198.3250088321711</v>
      </c>
    </row>
    <row r="10" spans="1:20" x14ac:dyDescent="0.3">
      <c r="B10" t="s">
        <v>215</v>
      </c>
      <c r="D10" s="32">
        <f>AVERAGE(C9:D9)/D6*365</f>
        <v>120.33961539356972</v>
      </c>
      <c r="E10" s="32">
        <f t="shared" ref="E10:P10" si="5">AVERAGE(D9:E9)/E6*365</f>
        <v>102.64648102946215</v>
      </c>
      <c r="F10" s="32">
        <f t="shared" si="5"/>
        <v>94.445814656743948</v>
      </c>
      <c r="G10" s="32">
        <f t="shared" si="5"/>
        <v>100.34099713452953</v>
      </c>
      <c r="H10" s="32">
        <f t="shared" si="5"/>
        <v>85.699312219430809</v>
      </c>
      <c r="I10" s="32">
        <f t="shared" si="5"/>
        <v>82.678759894459105</v>
      </c>
      <c r="J10" s="32">
        <f t="shared" si="5"/>
        <v>88.501457468421521</v>
      </c>
      <c r="K10" s="32">
        <f t="shared" si="5"/>
        <v>97.77487778606347</v>
      </c>
      <c r="L10" s="32">
        <f t="shared" si="5"/>
        <v>102.74865645303602</v>
      </c>
      <c r="M10" s="32">
        <f t="shared" si="5"/>
        <v>97</v>
      </c>
      <c r="N10" s="32">
        <f t="shared" si="5"/>
        <v>96.999999999999986</v>
      </c>
      <c r="O10" s="32">
        <f t="shared" si="5"/>
        <v>97</v>
      </c>
      <c r="P10" s="32">
        <f t="shared" si="5"/>
        <v>97</v>
      </c>
      <c r="Q10" s="32">
        <f t="shared" ref="Q10" si="6">AVERAGE(P9:Q9)/Q6*365</f>
        <v>97</v>
      </c>
      <c r="R10" s="32">
        <f t="shared" ref="R10" si="7">AVERAGE(Q9:R9)/R6*365</f>
        <v>96.999999999999986</v>
      </c>
      <c r="S10" s="32">
        <f t="shared" ref="S10" si="8">AVERAGE(R9:S9)/S6*365</f>
        <v>96.999999999999986</v>
      </c>
      <c r="T10" s="32">
        <f t="shared" ref="T10" si="9">AVERAGE(S9:T9)/T6*365</f>
        <v>97</v>
      </c>
    </row>
    <row r="11" spans="1:20" x14ac:dyDescent="0.3">
      <c r="Q11" s="32"/>
      <c r="R11" s="32"/>
      <c r="S11" s="32"/>
      <c r="T11" s="32"/>
    </row>
    <row r="12" spans="1:20" x14ac:dyDescent="0.3">
      <c r="B12" t="s">
        <v>18</v>
      </c>
      <c r="C12" s="33">
        <f>BS!C41</f>
        <v>1927.6</v>
      </c>
      <c r="D12" s="33">
        <f>BS!D41</f>
        <v>1919.7</v>
      </c>
      <c r="E12" s="33">
        <f>BS!E41</f>
        <v>1934.3</v>
      </c>
      <c r="F12" s="33">
        <f>BS!F41</f>
        <v>1927.5</v>
      </c>
      <c r="G12" s="33">
        <f>BS!G41</f>
        <v>2051.9</v>
      </c>
      <c r="H12" s="33">
        <f>BS!H41</f>
        <v>2156.6999999999998</v>
      </c>
      <c r="I12" s="33">
        <f>BS!I41</f>
        <v>2230</v>
      </c>
      <c r="J12" s="33">
        <f>BS!J41</f>
        <v>2063</v>
      </c>
      <c r="K12" s="33">
        <f>BS!K41</f>
        <v>2305</v>
      </c>
      <c r="L12" s="33">
        <f>BS!L41</f>
        <v>2668</v>
      </c>
      <c r="M12" s="32">
        <f>(2*(M7*Assumptions!E26)/365)-L12</f>
        <v>2810.4267520547937</v>
      </c>
      <c r="N12" s="32">
        <f>(2*(N7*Assumptions!F26)/365)-M12</f>
        <v>3106.2741401643843</v>
      </c>
      <c r="O12" s="32">
        <f>(2*(O7*Assumptions!G26)/365)-N12</f>
        <v>3224.5958145101358</v>
      </c>
      <c r="P12" s="32">
        <f>(2*(P7*Assumptions!H26)/365)-O12</f>
        <v>3486.1263374448572</v>
      </c>
      <c r="Q12" s="32">
        <f>(2*(Q7*Assumptions!I26)/365)-P12</f>
        <v>3660.792754387212</v>
      </c>
      <c r="R12" s="32">
        <f>(2*(R7*Assumptions!J26)/365)-Q12</f>
        <v>3950.6760784139406</v>
      </c>
      <c r="S12" s="32">
        <f>(2*(S7*Assumptions!K26)/365)-R12</f>
        <v>4155.5382285192845</v>
      </c>
      <c r="T12" s="32">
        <f>(2*(T7*Assumptions!L26)/365)-S12</f>
        <v>4477.5800083645991</v>
      </c>
    </row>
    <row r="13" spans="1:20" x14ac:dyDescent="0.3">
      <c r="B13" t="s">
        <v>184</v>
      </c>
      <c r="D13" s="32">
        <f>AVERAGE(C12:D12)/D7*365</f>
        <v>154.06759484782657</v>
      </c>
      <c r="E13" s="32">
        <f t="shared" ref="E13:P13" si="10">AVERAGE(D12:E12)/E7*365</f>
        <v>141.6227045747423</v>
      </c>
      <c r="F13" s="32">
        <f t="shared" si="10"/>
        <v>131.24366852886405</v>
      </c>
      <c r="G13" s="32">
        <f t="shared" si="10"/>
        <v>151.0640665626625</v>
      </c>
      <c r="H13" s="32">
        <f t="shared" si="10"/>
        <v>135.20208065623407</v>
      </c>
      <c r="I13" s="32">
        <f t="shared" si="10"/>
        <v>123.10821928340765</v>
      </c>
      <c r="J13" s="32">
        <f t="shared" si="10"/>
        <v>119.76039437480893</v>
      </c>
      <c r="K13" s="32">
        <f t="shared" si="10"/>
        <v>116.20408163265306</v>
      </c>
      <c r="L13" s="32">
        <f t="shared" si="10"/>
        <v>135.986290080911</v>
      </c>
      <c r="M13" s="32">
        <f>AVERAGE(L12:M12)/M7*365</f>
        <v>135</v>
      </c>
      <c r="N13" s="32">
        <f t="shared" si="10"/>
        <v>134.99999999999997</v>
      </c>
      <c r="O13" s="32">
        <f t="shared" si="10"/>
        <v>135</v>
      </c>
      <c r="P13" s="32">
        <f t="shared" si="10"/>
        <v>135</v>
      </c>
      <c r="Q13" s="32">
        <f t="shared" ref="Q13" si="11">AVERAGE(P12:Q12)/Q7*365</f>
        <v>135</v>
      </c>
      <c r="R13" s="32">
        <f t="shared" ref="R13" si="12">AVERAGE(Q12:R12)/R7*365</f>
        <v>135</v>
      </c>
      <c r="S13" s="32">
        <f t="shared" ref="S13" si="13">AVERAGE(R12:S12)/S7*365</f>
        <v>135</v>
      </c>
      <c r="T13" s="32">
        <f t="shared" ref="T13" si="14">AVERAGE(S12:T12)/T7*365</f>
        <v>135</v>
      </c>
    </row>
    <row r="14" spans="1:20" x14ac:dyDescent="0.3">
      <c r="Q14" s="32"/>
      <c r="R14" s="32"/>
      <c r="S14" s="32"/>
      <c r="T14" s="32"/>
    </row>
    <row r="15" spans="1:20" x14ac:dyDescent="0.3">
      <c r="B15" t="s">
        <v>0</v>
      </c>
      <c r="C15" s="33">
        <f>BS!C19</f>
        <v>1224.7</v>
      </c>
      <c r="D15" s="33">
        <f>BS!D19</f>
        <v>1455.1</v>
      </c>
      <c r="E15" s="33">
        <f>BS!E19</f>
        <v>1408.3</v>
      </c>
      <c r="F15" s="33">
        <f>BS!F19</f>
        <v>1199.4000000000001</v>
      </c>
      <c r="G15" s="33">
        <f>BS!G19</f>
        <v>1417.2</v>
      </c>
      <c r="H15" s="33">
        <f>BS!H19</f>
        <v>1582.1</v>
      </c>
      <c r="I15" s="33">
        <f>BS!I19</f>
        <v>1782.5</v>
      </c>
      <c r="J15" s="33">
        <f>BS!J19</f>
        <v>1954</v>
      </c>
      <c r="K15" s="33">
        <f>BS!K19</f>
        <v>2239</v>
      </c>
      <c r="L15" s="33">
        <f>BS!L19</f>
        <v>2383</v>
      </c>
      <c r="M15" s="32">
        <f>(2*(M7*Assumptions!E22)/365)-L15</f>
        <v>1837.4176460273966</v>
      </c>
      <c r="N15" s="32">
        <f>(2*(N7*Assumptions!F22)/365)-M15</f>
        <v>2720.6334116821927</v>
      </c>
      <c r="O15" s="32">
        <f>(2*(O7*Assumptions!G22)/365)-N15</f>
        <v>2156.4812200670676</v>
      </c>
      <c r="P15" s="32">
        <f>(2*(P7*Assumptions!H22)/365)-O15</f>
        <v>3013.2602895871487</v>
      </c>
      <c r="Q15" s="32">
        <f>(2*(Q7*Assumptions!I22)/365)-P15</f>
        <v>2492.5144181945925</v>
      </c>
      <c r="R15" s="32">
        <f>(2*(R7*Assumptions!J22)/365)-Q15</f>
        <v>3371.1356455929617</v>
      </c>
      <c r="S15" s="32">
        <f>(2*(S7*Assumptions!K22)/365)-R15</f>
        <v>2873.6516723407813</v>
      </c>
      <c r="T15" s="32">
        <f>(2*(T7*Assumptions!L22)/365)-S15</f>
        <v>3777.0468212586547</v>
      </c>
    </row>
    <row r="16" spans="1:20" x14ac:dyDescent="0.3">
      <c r="B16" t="s">
        <v>216</v>
      </c>
      <c r="D16" s="32">
        <f>AVERAGE(C15:D15)/D7*365</f>
        <v>107.314308910978</v>
      </c>
      <c r="E16" s="32">
        <f t="shared" ref="E16:P16" si="15">AVERAGE(D15:E15)/E7*365</f>
        <v>105.22118637242268</v>
      </c>
      <c r="F16" s="32">
        <f t="shared" si="15"/>
        <v>88.622951582867771</v>
      </c>
      <c r="G16" s="32">
        <f t="shared" si="15"/>
        <v>99.330109204368185</v>
      </c>
      <c r="H16" s="32">
        <f t="shared" si="15"/>
        <v>96.353086658804074</v>
      </c>
      <c r="I16" s="32">
        <f>AVERAGE(H15:I15)/I7*365</f>
        <v>94.42403506074119</v>
      </c>
      <c r="J16" s="32">
        <f t="shared" si="15"/>
        <v>104.23589880770406</v>
      </c>
      <c r="K16" s="32">
        <f t="shared" si="15"/>
        <v>111.54846938775511</v>
      </c>
      <c r="L16" s="32">
        <f>AVERAGE(K15:L15)/L7*365</f>
        <v>126.38822295474978</v>
      </c>
      <c r="M16" s="32">
        <f>AVERAGE(L15:M15)/M7*365</f>
        <v>104</v>
      </c>
      <c r="N16" s="32">
        <f>AVERAGE(M15:N15)/N7*365</f>
        <v>104</v>
      </c>
      <c r="O16" s="32">
        <f t="shared" si="15"/>
        <v>104</v>
      </c>
      <c r="P16" s="32">
        <f t="shared" si="15"/>
        <v>104</v>
      </c>
      <c r="Q16" s="32">
        <f t="shared" ref="Q16" si="16">AVERAGE(P15:Q15)/Q7*365</f>
        <v>104</v>
      </c>
      <c r="R16" s="32">
        <f t="shared" ref="R16" si="17">AVERAGE(Q15:R15)/R7*365</f>
        <v>104</v>
      </c>
      <c r="S16" s="32">
        <f t="shared" ref="S16" si="18">AVERAGE(R15:S15)/S7*365</f>
        <v>104</v>
      </c>
      <c r="T16" s="32">
        <f t="shared" ref="T16" si="19">AVERAGE(S15:T15)/T7*365</f>
        <v>104</v>
      </c>
    </row>
    <row r="17" spans="2:20" x14ac:dyDescent="0.3">
      <c r="Q17" s="32"/>
      <c r="R17" s="32"/>
      <c r="S17" s="32"/>
      <c r="T17" s="32"/>
    </row>
    <row r="18" spans="2:20" x14ac:dyDescent="0.3">
      <c r="B18" t="s">
        <v>4</v>
      </c>
      <c r="C18" s="32">
        <f>BS!C40+BS!C41+BS!C42</f>
        <v>5661.8</v>
      </c>
      <c r="D18" s="32">
        <f>BS!D40+BS!D41+BS!D42</f>
        <v>5480.0999999999995</v>
      </c>
      <c r="E18" s="32">
        <f>BS!E40+BS!E41+BS!E42</f>
        <v>4980.8999999999996</v>
      </c>
      <c r="F18" s="32">
        <f>BS!F40+BS!F41+BS!F42</f>
        <v>4796.8</v>
      </c>
      <c r="G18" s="32">
        <f>BS!G40+BS!G41+BS!G42</f>
        <v>4719.1000000000004</v>
      </c>
      <c r="H18" s="32">
        <f>BS!H40+BS!H41+BS!H42</f>
        <v>4881</v>
      </c>
      <c r="I18" s="32">
        <f>BS!I40+BS!I41+BS!I42</f>
        <v>5095.5</v>
      </c>
      <c r="J18" s="32">
        <f>BS!J40+BS!J41+BS!J42</f>
        <v>5509</v>
      </c>
      <c r="K18" s="32">
        <f>BS!K40+BS!K41+BS!K42</f>
        <v>6299</v>
      </c>
      <c r="L18" s="32">
        <f>BS!L40+BS!L41+BS!L42</f>
        <v>7429</v>
      </c>
      <c r="M18" s="32">
        <f>BS!M40+BS!M41+BS!M42</f>
        <v>7639.4492726027393</v>
      </c>
      <c r="N18" s="32">
        <f>BS!N40+BS!N41+BS!N42</f>
        <v>8647.5185670136998</v>
      </c>
      <c r="O18" s="32">
        <f>BS!O40+BS!O41+BS!O42</f>
        <v>8820.800570849864</v>
      </c>
      <c r="P18" s="32">
        <f>BS!P40+BS!P41+BS!P42</f>
        <v>9767.4682441574041</v>
      </c>
      <c r="Q18" s="32">
        <f>BS!Q40+BS!Q41+BS!Q42</f>
        <v>10001.239523210137</v>
      </c>
      <c r="R18" s="32">
        <f>BS!R40+BS!R41+BS!R42</f>
        <v>11023.106809787256</v>
      </c>
      <c r="S18" s="32">
        <f>BS!S40+BS!S41+BS!S42</f>
        <v>11336.881586447231</v>
      </c>
      <c r="T18" s="32">
        <f>BS!T40+BS!T41+BS!T42</f>
        <v>12443.863882472338</v>
      </c>
    </row>
    <row r="19" spans="2:20" x14ac:dyDescent="0.3">
      <c r="B19" t="s">
        <v>1</v>
      </c>
      <c r="C19" s="33">
        <f>BS!C23</f>
        <v>6227.1000000000013</v>
      </c>
      <c r="D19" s="33">
        <f>BS!D23</f>
        <v>5767.3999999999987</v>
      </c>
      <c r="E19" s="33">
        <f>BS!E23</f>
        <v>5214.3</v>
      </c>
      <c r="F19" s="33">
        <f>BS!F23</f>
        <v>4904.5</v>
      </c>
      <c r="G19" s="33">
        <f>BS!G23</f>
        <v>4231.1000000000004</v>
      </c>
      <c r="H19" s="33">
        <f>BS!H23</f>
        <v>3644.4999999999995</v>
      </c>
      <c r="I19" s="33">
        <f>BS!I23</f>
        <v>3534.2</v>
      </c>
      <c r="J19" s="33">
        <f>BS!J23</f>
        <v>3814.6</v>
      </c>
      <c r="K19" s="33">
        <f>BS!K23</f>
        <v>4592</v>
      </c>
      <c r="L19" s="33">
        <f>BS!L23</f>
        <v>5091</v>
      </c>
      <c r="M19" s="33">
        <f>BS!M23</f>
        <v>4615.5797660273965</v>
      </c>
      <c r="N19" s="33">
        <f>BS!N23</f>
        <v>5748.2901224821926</v>
      </c>
      <c r="O19" s="33">
        <f>BS!O23</f>
        <v>5425.8704677310689</v>
      </c>
      <c r="P19" s="33">
        <f>BS!P23</f>
        <v>6511.0867845876292</v>
      </c>
      <c r="Q19" s="33">
        <f>BS!Q23</f>
        <v>6217.3096353701048</v>
      </c>
      <c r="R19" s="33">
        <f>BS!R23</f>
        <v>7337.6525518848812</v>
      </c>
      <c r="S19" s="33">
        <f>BS!S23</f>
        <v>7097.6021775416757</v>
      </c>
      <c r="T19" s="33">
        <f>BS!T23</f>
        <v>8275.164109297606</v>
      </c>
    </row>
    <row r="20" spans="2:20" x14ac:dyDescent="0.3">
      <c r="B20" s="1" t="s">
        <v>240</v>
      </c>
      <c r="C20" s="30">
        <f>C18-C19</f>
        <v>-565.30000000000109</v>
      </c>
      <c r="D20" s="30">
        <f t="shared" ref="D20:P20" si="20">D18-D19</f>
        <v>-287.29999999999927</v>
      </c>
      <c r="E20" s="30">
        <f t="shared" si="20"/>
        <v>-233.40000000000055</v>
      </c>
      <c r="F20" s="30">
        <f t="shared" si="20"/>
        <v>-107.69999999999982</v>
      </c>
      <c r="G20" s="30">
        <f t="shared" si="20"/>
        <v>488</v>
      </c>
      <c r="H20" s="30">
        <f t="shared" si="20"/>
        <v>1236.5000000000005</v>
      </c>
      <c r="I20" s="30">
        <f t="shared" si="20"/>
        <v>1561.3000000000002</v>
      </c>
      <c r="J20" s="30">
        <f t="shared" si="20"/>
        <v>1694.4</v>
      </c>
      <c r="K20" s="30">
        <f t="shared" si="20"/>
        <v>1707</v>
      </c>
      <c r="L20" s="30">
        <f t="shared" si="20"/>
        <v>2338</v>
      </c>
      <c r="M20" s="30">
        <f>M18-M19</f>
        <v>3023.8695065753427</v>
      </c>
      <c r="N20" s="30">
        <f t="shared" si="20"/>
        <v>2899.2284445315072</v>
      </c>
      <c r="O20" s="30">
        <f t="shared" si="20"/>
        <v>3394.9301031187952</v>
      </c>
      <c r="P20" s="30">
        <f t="shared" si="20"/>
        <v>3256.381459569775</v>
      </c>
      <c r="Q20" s="30">
        <f t="shared" ref="Q20:T20" si="21">Q18-Q19</f>
        <v>3783.9298878400323</v>
      </c>
      <c r="R20" s="30">
        <f t="shared" si="21"/>
        <v>3685.4542579023746</v>
      </c>
      <c r="S20" s="30">
        <f t="shared" si="21"/>
        <v>4239.2794089055551</v>
      </c>
      <c r="T20" s="30">
        <f t="shared" si="21"/>
        <v>4168.6997731747324</v>
      </c>
    </row>
    <row r="21" spans="2:20" x14ac:dyDescent="0.3">
      <c r="B21" s="1" t="s">
        <v>257</v>
      </c>
      <c r="C21" s="30"/>
      <c r="D21" s="30">
        <f>D20-C20</f>
        <v>278.00000000000182</v>
      </c>
      <c r="E21" s="30">
        <f>E20-D20</f>
        <v>53.899999999998727</v>
      </c>
      <c r="F21" s="30">
        <f t="shared" ref="F21:L21" si="22">F20-E20</f>
        <v>125.70000000000073</v>
      </c>
      <c r="G21" s="30">
        <f t="shared" si="22"/>
        <v>595.69999999999982</v>
      </c>
      <c r="H21" s="30">
        <f t="shared" si="22"/>
        <v>748.50000000000045</v>
      </c>
      <c r="I21" s="30">
        <f t="shared" si="22"/>
        <v>324.79999999999973</v>
      </c>
      <c r="J21" s="30">
        <f t="shared" si="22"/>
        <v>133.09999999999991</v>
      </c>
      <c r="K21" s="30">
        <f>K20-J20</f>
        <v>12.599999999999909</v>
      </c>
      <c r="L21" s="30">
        <f t="shared" si="22"/>
        <v>631</v>
      </c>
      <c r="M21" s="30">
        <f t="shared" ref="M21" si="23">M20-L20</f>
        <v>685.86950657534271</v>
      </c>
      <c r="N21" s="30">
        <f t="shared" ref="N21" si="24">N20-M20</f>
        <v>-124.64106204383552</v>
      </c>
      <c r="O21" s="30">
        <f t="shared" ref="O21" si="25">O20-N20</f>
        <v>495.70165858728797</v>
      </c>
      <c r="P21" s="30">
        <f t="shared" ref="P21" si="26">P20-O20</f>
        <v>-138.5486435490202</v>
      </c>
      <c r="Q21" s="30">
        <f t="shared" ref="Q21" si="27">Q20-P20</f>
        <v>527.54842827025732</v>
      </c>
      <c r="R21" s="30">
        <f t="shared" ref="R21" si="28">R20-Q20</f>
        <v>-98.475629937657686</v>
      </c>
      <c r="S21" s="30">
        <f t="shared" ref="S21" si="29">S20-R20</f>
        <v>553.82515100318051</v>
      </c>
      <c r="T21" s="30">
        <f t="shared" ref="T21" si="30">T20-S20</f>
        <v>-70.579635730822702</v>
      </c>
    </row>
    <row r="23" spans="2:20" x14ac:dyDescent="0.3">
      <c r="B2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49DF-4BDA-452F-86EE-FB265F33E492}">
  <dimension ref="B1:Y122"/>
  <sheetViews>
    <sheetView showGridLines="0" zoomScale="77" zoomScaleNormal="100" workbookViewId="0">
      <selection activeCell="B4" sqref="B4"/>
    </sheetView>
  </sheetViews>
  <sheetFormatPr defaultRowHeight="18" customHeight="1" x14ac:dyDescent="0.3"/>
  <cols>
    <col min="2" max="2" width="50.77734375" customWidth="1"/>
    <col min="3" max="3" width="10.21875" style="32" bestFit="1" customWidth="1"/>
    <col min="4" max="7" width="9.109375" style="32" bestFit="1" customWidth="1"/>
    <col min="8" max="10" width="8.88671875" style="32"/>
    <col min="11" max="11" width="9.33203125" style="32" bestFit="1" customWidth="1"/>
    <col min="12" max="15" width="9.33203125" style="32" customWidth="1"/>
    <col min="17" max="17" width="9.6640625" bestFit="1" customWidth="1"/>
    <col min="18" max="19" width="8.77734375" customWidth="1"/>
  </cols>
  <sheetData>
    <row r="1" spans="2:20" ht="18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</row>
    <row r="2" spans="2:20" ht="18" customHeight="1" x14ac:dyDescent="0.4">
      <c r="B2" s="45" t="s">
        <v>130</v>
      </c>
      <c r="C2"/>
      <c r="D2"/>
      <c r="E2"/>
      <c r="F2"/>
      <c r="G2"/>
      <c r="H2"/>
      <c r="I2"/>
      <c r="J2"/>
      <c r="K2"/>
      <c r="L2"/>
      <c r="M2"/>
      <c r="N2"/>
      <c r="O2" s="246" t="str">
        <f>PL!T2</f>
        <v>CURRENTLY RUNNING: BASE SCENARIO</v>
      </c>
    </row>
    <row r="3" spans="2:20" ht="18" customHeight="1" x14ac:dyDescent="0.3">
      <c r="C3"/>
      <c r="D3"/>
      <c r="E3"/>
      <c r="F3"/>
      <c r="G3"/>
      <c r="H3"/>
      <c r="I3"/>
      <c r="J3"/>
      <c r="K3"/>
      <c r="L3"/>
      <c r="M3"/>
      <c r="N3"/>
      <c r="O3"/>
    </row>
    <row r="4" spans="2:20" ht="18" customHeight="1" x14ac:dyDescent="0.4">
      <c r="B4" s="45" t="s">
        <v>172</v>
      </c>
      <c r="C4"/>
      <c r="D4"/>
      <c r="E4"/>
      <c r="F4"/>
      <c r="G4"/>
      <c r="H4"/>
      <c r="I4"/>
      <c r="J4"/>
      <c r="K4"/>
      <c r="L4"/>
      <c r="M4"/>
      <c r="N4"/>
      <c r="O4"/>
    </row>
    <row r="5" spans="2:20" ht="18" customHeight="1" x14ac:dyDescent="0.3">
      <c r="B5" s="125" t="s">
        <v>17</v>
      </c>
      <c r="C5" s="209">
        <v>2022</v>
      </c>
      <c r="D5" s="209">
        <f>C5+1</f>
        <v>2023</v>
      </c>
      <c r="E5" s="209">
        <f t="shared" ref="E5:K5" si="0">D5+1</f>
        <v>2024</v>
      </c>
      <c r="F5" s="209">
        <f t="shared" si="0"/>
        <v>2025</v>
      </c>
      <c r="G5" s="209">
        <f t="shared" si="0"/>
        <v>2026</v>
      </c>
      <c r="H5" s="210">
        <f t="shared" si="0"/>
        <v>2027</v>
      </c>
      <c r="I5" s="210">
        <f t="shared" si="0"/>
        <v>2028</v>
      </c>
      <c r="J5" s="210">
        <f t="shared" si="0"/>
        <v>2029</v>
      </c>
      <c r="K5" s="210">
        <f t="shared" si="0"/>
        <v>2030</v>
      </c>
      <c r="L5" s="210">
        <f t="shared" ref="L5" si="1">K5+1</f>
        <v>2031</v>
      </c>
      <c r="M5" s="210">
        <f t="shared" ref="M5" si="2">L5+1</f>
        <v>2032</v>
      </c>
      <c r="N5" s="210">
        <f t="shared" ref="N5" si="3">M5+1</f>
        <v>2033</v>
      </c>
      <c r="O5" s="211">
        <f t="shared" ref="O5" si="4">N5+1</f>
        <v>2034</v>
      </c>
    </row>
    <row r="6" spans="2:20" ht="18" customHeight="1" x14ac:dyDescent="0.3">
      <c r="B6" s="68"/>
      <c r="C6" s="214"/>
      <c r="D6" s="57"/>
      <c r="E6" s="57"/>
      <c r="F6" s="57"/>
      <c r="G6" s="57"/>
      <c r="H6" s="58"/>
      <c r="I6" s="58"/>
      <c r="J6" s="58"/>
      <c r="K6" s="58"/>
      <c r="L6" s="58"/>
      <c r="M6" s="58"/>
      <c r="N6" s="58"/>
      <c r="O6" s="67"/>
    </row>
    <row r="7" spans="2:20" ht="18" customHeight="1" x14ac:dyDescent="0.3">
      <c r="B7" s="68" t="s">
        <v>168</v>
      </c>
      <c r="C7" s="33">
        <f>BS!G15</f>
        <v>157.80000000000001</v>
      </c>
      <c r="D7" s="33">
        <f>C10</f>
        <v>263.89999999999998</v>
      </c>
      <c r="E7" s="33">
        <f t="shared" ref="E7:K7" si="5">D10</f>
        <v>182.39999999999998</v>
      </c>
      <c r="F7" s="33">
        <f t="shared" si="5"/>
        <v>240.39999999999998</v>
      </c>
      <c r="G7" s="33">
        <f t="shared" si="5"/>
        <v>480.4</v>
      </c>
      <c r="H7" s="33">
        <f t="shared" si="5"/>
        <v>408</v>
      </c>
      <c r="I7" s="33">
        <f t="shared" si="5"/>
        <v>552.87865999999997</v>
      </c>
      <c r="J7" s="33">
        <f t="shared" si="5"/>
        <v>713.87799939999991</v>
      </c>
      <c r="K7" s="33">
        <f t="shared" si="5"/>
        <v>889.40594195199981</v>
      </c>
      <c r="L7" s="33">
        <f t="shared" ref="L7" si="6">K10</f>
        <v>1077.2208404826397</v>
      </c>
      <c r="M7" s="33">
        <f t="shared" ref="M7" si="7">L10</f>
        <v>1276.2999342905714</v>
      </c>
      <c r="N7" s="33">
        <f t="shared" ref="N7" si="8">M10</f>
        <v>1487.3093319499144</v>
      </c>
      <c r="O7" s="70">
        <f t="shared" ref="O7" si="9">N10</f>
        <v>1710.9538146037835</v>
      </c>
    </row>
    <row r="8" spans="2:20" ht="18" customHeight="1" x14ac:dyDescent="0.3">
      <c r="B8" s="68" t="s">
        <v>131</v>
      </c>
      <c r="C8" s="46">
        <v>206.1</v>
      </c>
      <c r="D8" s="46">
        <v>42.5</v>
      </c>
      <c r="E8" s="46">
        <f>E52</f>
        <v>184</v>
      </c>
      <c r="F8" s="46">
        <v>377</v>
      </c>
      <c r="G8" s="46">
        <v>71.599999999999994</v>
      </c>
      <c r="H8" s="33">
        <f>H52</f>
        <v>298.95866000000001</v>
      </c>
      <c r="I8" s="33">
        <f>I52</f>
        <v>325.86493940000003</v>
      </c>
      <c r="J8" s="33">
        <f>J52</f>
        <v>351.93413455200005</v>
      </c>
      <c r="K8" s="33">
        <f>K52</f>
        <v>376.56952397064003</v>
      </c>
      <c r="L8" s="33">
        <f t="shared" ref="L8:O8" si="10">L52</f>
        <v>401.04654302873166</v>
      </c>
      <c r="M8" s="33">
        <f t="shared" si="10"/>
        <v>427.11456832559918</v>
      </c>
      <c r="N8" s="33">
        <f t="shared" si="10"/>
        <v>454.87701526676307</v>
      </c>
      <c r="O8" s="70">
        <f t="shared" si="10"/>
        <v>484.44402125910261</v>
      </c>
    </row>
    <row r="9" spans="2:20" ht="18" customHeight="1" x14ac:dyDescent="0.3">
      <c r="B9" s="68" t="s">
        <v>132</v>
      </c>
      <c r="C9" s="46">
        <v>-100</v>
      </c>
      <c r="D9" s="46">
        <v>-124</v>
      </c>
      <c r="E9" s="46">
        <v>-126</v>
      </c>
      <c r="F9" s="46">
        <v>-137</v>
      </c>
      <c r="G9" s="46">
        <v>-144</v>
      </c>
      <c r="H9" s="32">
        <f>(1+Assumptions!E18)*G9</f>
        <v>-154.08000000000001</v>
      </c>
      <c r="I9" s="32">
        <f>(1+Assumptions!F18)*H9</f>
        <v>-164.86560000000003</v>
      </c>
      <c r="J9" s="32">
        <f>(1+Assumptions!G18)*I9</f>
        <v>-176.40619200000003</v>
      </c>
      <c r="K9" s="32">
        <f>(1+Assumptions!H18)*J9</f>
        <v>-188.75462544000004</v>
      </c>
      <c r="L9" s="32">
        <f>(1+Assumptions!I18)*K9</f>
        <v>-201.96744922080006</v>
      </c>
      <c r="M9" s="32">
        <f>(1+Assumptions!J18)*L9</f>
        <v>-216.10517066625607</v>
      </c>
      <c r="N9" s="32">
        <f>(1+Assumptions!K18)*M9</f>
        <v>-231.232532612894</v>
      </c>
      <c r="O9" s="71">
        <f>(1+Assumptions!L18)*N9</f>
        <v>-247.41880989579661</v>
      </c>
      <c r="Q9" s="32"/>
      <c r="R9" s="32"/>
      <c r="S9" s="32"/>
      <c r="T9" s="32"/>
    </row>
    <row r="10" spans="2:20" ht="18" customHeight="1" x14ac:dyDescent="0.3">
      <c r="B10" s="66" t="s">
        <v>169</v>
      </c>
      <c r="C10" s="30">
        <f t="shared" ref="C10:K10" si="11">SUM(C7:C9)</f>
        <v>263.89999999999998</v>
      </c>
      <c r="D10" s="30">
        <f t="shared" si="11"/>
        <v>182.39999999999998</v>
      </c>
      <c r="E10" s="30">
        <f t="shared" si="11"/>
        <v>240.39999999999998</v>
      </c>
      <c r="F10" s="30">
        <f t="shared" si="11"/>
        <v>480.4</v>
      </c>
      <c r="G10" s="30">
        <f>SUM(G7:G9)</f>
        <v>408</v>
      </c>
      <c r="H10" s="30">
        <f t="shared" si="11"/>
        <v>552.87865999999997</v>
      </c>
      <c r="I10" s="30">
        <f t="shared" si="11"/>
        <v>713.87799939999991</v>
      </c>
      <c r="J10" s="30">
        <f t="shared" si="11"/>
        <v>889.40594195199981</v>
      </c>
      <c r="K10" s="30">
        <f t="shared" si="11"/>
        <v>1077.2208404826397</v>
      </c>
      <c r="L10" s="30">
        <f t="shared" ref="L10:O10" si="12">SUM(L7:L9)</f>
        <v>1276.2999342905714</v>
      </c>
      <c r="M10" s="30">
        <f t="shared" si="12"/>
        <v>1487.3093319499144</v>
      </c>
      <c r="N10" s="30">
        <f t="shared" si="12"/>
        <v>1710.9538146037835</v>
      </c>
      <c r="O10" s="85">
        <f t="shared" si="12"/>
        <v>1947.9790259670895</v>
      </c>
      <c r="Q10" s="53"/>
      <c r="R10" s="32"/>
    </row>
    <row r="11" spans="2:20" ht="18" customHeight="1" x14ac:dyDescent="0.3">
      <c r="B11" s="78" t="s">
        <v>25</v>
      </c>
      <c r="C11" s="219">
        <v>11.9</v>
      </c>
      <c r="D11" s="219">
        <v>16</v>
      </c>
      <c r="E11" s="219">
        <v>21</v>
      </c>
      <c r="F11" s="219">
        <v>40</v>
      </c>
      <c r="G11" s="219">
        <v>37</v>
      </c>
      <c r="H11" s="220">
        <f>AVERAGE(H10,H7)*Assumptions!E19</f>
        <v>40.837343050000001</v>
      </c>
      <c r="I11" s="220">
        <f>AVERAGE(I10,I7)*Assumptions!F19</f>
        <v>53.837158024500006</v>
      </c>
      <c r="J11" s="220">
        <f>AVERAGE(J10,J7)*Assumptions!G19</f>
        <v>68.139567507459986</v>
      </c>
      <c r="K11" s="220">
        <f>AVERAGE(K10,K7)*Assumptions!H19</f>
        <v>83.581638253472192</v>
      </c>
      <c r="L11" s="220">
        <f>AVERAGE(L10,L7)*Assumptions!I19</f>
        <v>100.02463292786148</v>
      </c>
      <c r="M11" s="220">
        <f>AVERAGE(M10,M7)*Assumptions!J19</f>
        <v>117.45339381522065</v>
      </c>
      <c r="N11" s="220">
        <f>AVERAGE(N10,N7)*Assumptions!K19</f>
        <v>135.92618372853218</v>
      </c>
      <c r="O11" s="221">
        <f>AVERAGE(O10,O7)*Assumptions!L19</f>
        <v>155.5046457242621</v>
      </c>
      <c r="Q11" s="56"/>
      <c r="R11" s="32"/>
    </row>
    <row r="12" spans="2:20" ht="18" customHeight="1" x14ac:dyDescent="0.3">
      <c r="B12" s="1"/>
      <c r="C12" s="215"/>
      <c r="D12" s="215"/>
      <c r="E12" s="215"/>
      <c r="F12" s="215"/>
      <c r="G12" s="217"/>
      <c r="H12" s="216"/>
      <c r="I12" s="216"/>
      <c r="J12" s="216"/>
      <c r="K12" s="216"/>
      <c r="L12" s="216"/>
      <c r="M12" s="216"/>
      <c r="N12" s="216"/>
      <c r="O12" s="216"/>
      <c r="Q12" s="56"/>
      <c r="R12" s="32"/>
    </row>
    <row r="13" spans="2:20" ht="18" customHeight="1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Q13" s="32"/>
      <c r="R13" s="32"/>
    </row>
    <row r="14" spans="2:20" ht="18" customHeight="1" x14ac:dyDescent="0.4">
      <c r="B14" s="45" t="s">
        <v>173</v>
      </c>
      <c r="C14"/>
      <c r="D14"/>
      <c r="E14"/>
      <c r="F14"/>
      <c r="G14"/>
      <c r="H14"/>
      <c r="I14"/>
      <c r="J14"/>
      <c r="K14"/>
      <c r="L14"/>
      <c r="M14"/>
      <c r="N14"/>
      <c r="O14"/>
      <c r="Q14" s="32"/>
      <c r="R14" s="32"/>
    </row>
    <row r="15" spans="2:20" ht="18" customHeight="1" x14ac:dyDescent="0.3">
      <c r="B15" s="125" t="s">
        <v>17</v>
      </c>
      <c r="C15" s="209">
        <v>2022</v>
      </c>
      <c r="D15" s="209">
        <f>C15+1</f>
        <v>2023</v>
      </c>
      <c r="E15" s="209">
        <f t="shared" ref="E15" si="13">D15+1</f>
        <v>2024</v>
      </c>
      <c r="F15" s="209">
        <f t="shared" ref="F15" si="14">E15+1</f>
        <v>2025</v>
      </c>
      <c r="G15" s="209">
        <f t="shared" ref="G15" si="15">F15+1</f>
        <v>2026</v>
      </c>
      <c r="H15" s="210">
        <f t="shared" ref="H15" si="16">G15+1</f>
        <v>2027</v>
      </c>
      <c r="I15" s="210">
        <f t="shared" ref="I15" si="17">H15+1</f>
        <v>2028</v>
      </c>
      <c r="J15" s="210">
        <f t="shared" ref="J15" si="18">I15+1</f>
        <v>2029</v>
      </c>
      <c r="K15" s="210">
        <f t="shared" ref="K15" si="19">J15+1</f>
        <v>2030</v>
      </c>
      <c r="L15" s="210">
        <f t="shared" ref="L15" si="20">K15+1</f>
        <v>2031</v>
      </c>
      <c r="M15" s="210">
        <f t="shared" ref="M15" si="21">L15+1</f>
        <v>2032</v>
      </c>
      <c r="N15" s="210">
        <f t="shared" ref="N15" si="22">M15+1</f>
        <v>2033</v>
      </c>
      <c r="O15" s="211">
        <f t="shared" ref="O15" si="23">N15+1</f>
        <v>2034</v>
      </c>
      <c r="Q15" s="32"/>
      <c r="R15" s="32"/>
    </row>
    <row r="16" spans="2:20" ht="18" customHeight="1" x14ac:dyDescent="0.3">
      <c r="B16" s="66"/>
      <c r="C16" s="57"/>
      <c r="D16" s="57"/>
      <c r="E16" s="57"/>
      <c r="F16" s="57"/>
      <c r="G16" s="57"/>
      <c r="H16" s="58"/>
      <c r="I16" s="58"/>
      <c r="J16" s="58"/>
      <c r="K16" s="58"/>
      <c r="L16" s="58"/>
      <c r="M16" s="58"/>
      <c r="N16" s="58"/>
      <c r="O16" s="67"/>
      <c r="Q16" s="32"/>
      <c r="R16" s="32"/>
    </row>
    <row r="17" spans="2:21" ht="18" customHeight="1" x14ac:dyDescent="0.3">
      <c r="B17" s="68" t="s">
        <v>148</v>
      </c>
      <c r="C17" s="59">
        <v>876</v>
      </c>
      <c r="D17" s="60">
        <f>C19</f>
        <v>341</v>
      </c>
      <c r="E17" s="60">
        <f t="shared" ref="E17:K17" si="24">D19</f>
        <v>0</v>
      </c>
      <c r="F17" s="60">
        <f t="shared" si="24"/>
        <v>25</v>
      </c>
      <c r="G17" s="60">
        <f t="shared" si="24"/>
        <v>0</v>
      </c>
      <c r="H17" s="60">
        <f t="shared" si="24"/>
        <v>0</v>
      </c>
      <c r="I17" s="60">
        <f t="shared" si="24"/>
        <v>0</v>
      </c>
      <c r="J17" s="60">
        <f t="shared" si="24"/>
        <v>0</v>
      </c>
      <c r="K17" s="60">
        <f t="shared" si="24"/>
        <v>0</v>
      </c>
      <c r="L17" s="60">
        <f t="shared" ref="L17" si="25">K19</f>
        <v>0</v>
      </c>
      <c r="M17" s="60">
        <f t="shared" ref="M17" si="26">L19</f>
        <v>0</v>
      </c>
      <c r="N17" s="60">
        <f t="shared" ref="N17" si="27">M19</f>
        <v>0</v>
      </c>
      <c r="O17" s="77">
        <f t="shared" ref="O17" si="28">N19</f>
        <v>0</v>
      </c>
      <c r="Q17" s="32"/>
      <c r="R17" s="32"/>
    </row>
    <row r="18" spans="2:21" ht="18" customHeight="1" x14ac:dyDescent="0.3">
      <c r="B18" s="68" t="s">
        <v>174</v>
      </c>
      <c r="C18" s="59">
        <v>-535</v>
      </c>
      <c r="D18" s="59">
        <v>-341</v>
      </c>
      <c r="E18" s="59">
        <v>25</v>
      </c>
      <c r="F18" s="59">
        <v>-25</v>
      </c>
      <c r="G18" s="59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222">
        <v>0</v>
      </c>
      <c r="Q18" s="32"/>
      <c r="R18" s="32"/>
    </row>
    <row r="19" spans="2:21" ht="18" customHeight="1" x14ac:dyDescent="0.3">
      <c r="B19" s="66" t="s">
        <v>150</v>
      </c>
      <c r="C19" s="62">
        <f>SUM(C17:C18)</f>
        <v>341</v>
      </c>
      <c r="D19" s="62">
        <f t="shared" ref="D19:K19" si="29">SUM(D17:D18)</f>
        <v>0</v>
      </c>
      <c r="E19" s="62">
        <f t="shared" si="29"/>
        <v>25</v>
      </c>
      <c r="F19" s="62">
        <f t="shared" si="29"/>
        <v>0</v>
      </c>
      <c r="G19" s="62">
        <f t="shared" si="29"/>
        <v>0</v>
      </c>
      <c r="H19" s="62">
        <f t="shared" si="29"/>
        <v>0</v>
      </c>
      <c r="I19" s="62">
        <f t="shared" si="29"/>
        <v>0</v>
      </c>
      <c r="J19" s="62">
        <f t="shared" si="29"/>
        <v>0</v>
      </c>
      <c r="K19" s="62">
        <f t="shared" si="29"/>
        <v>0</v>
      </c>
      <c r="L19" s="62">
        <f t="shared" ref="L19:O19" si="30">SUM(L17:L18)</f>
        <v>0</v>
      </c>
      <c r="M19" s="62">
        <f t="shared" si="30"/>
        <v>0</v>
      </c>
      <c r="N19" s="62">
        <f t="shared" si="30"/>
        <v>0</v>
      </c>
      <c r="O19" s="223">
        <f t="shared" si="30"/>
        <v>0</v>
      </c>
      <c r="Q19" s="32"/>
      <c r="R19" s="32"/>
    </row>
    <row r="20" spans="2:21" ht="18" customHeight="1" x14ac:dyDescent="0.3">
      <c r="B20" s="66" t="s">
        <v>25</v>
      </c>
      <c r="C20" s="63">
        <v>38</v>
      </c>
      <c r="D20" s="63">
        <v>20.3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224">
        <v>0</v>
      </c>
      <c r="Q20" s="32"/>
      <c r="R20" s="32"/>
    </row>
    <row r="21" spans="2:21" ht="18" customHeight="1" x14ac:dyDescent="0.3">
      <c r="B21" s="68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222"/>
      <c r="Q21" s="32"/>
      <c r="R21" s="32"/>
    </row>
    <row r="22" spans="2:21" ht="18" customHeight="1" x14ac:dyDescent="0.3">
      <c r="B22" s="78" t="s">
        <v>175</v>
      </c>
      <c r="C22" s="225">
        <f t="shared" ref="C22:K22" si="31">C19+C10</f>
        <v>604.9</v>
      </c>
      <c r="D22" s="225">
        <f t="shared" si="31"/>
        <v>182.39999999999998</v>
      </c>
      <c r="E22" s="225">
        <f t="shared" si="31"/>
        <v>265.39999999999998</v>
      </c>
      <c r="F22" s="225">
        <f t="shared" si="31"/>
        <v>480.4</v>
      </c>
      <c r="G22" s="225">
        <f>G19+G10</f>
        <v>408</v>
      </c>
      <c r="H22" s="225">
        <f t="shared" si="31"/>
        <v>552.87865999999997</v>
      </c>
      <c r="I22" s="225">
        <f t="shared" si="31"/>
        <v>713.87799939999991</v>
      </c>
      <c r="J22" s="225">
        <f t="shared" si="31"/>
        <v>889.40594195199981</v>
      </c>
      <c r="K22" s="225">
        <f t="shared" si="31"/>
        <v>1077.2208404826397</v>
      </c>
      <c r="L22" s="225">
        <f t="shared" ref="L22:O22" si="32">L19+L10</f>
        <v>1276.2999342905714</v>
      </c>
      <c r="M22" s="225">
        <f t="shared" si="32"/>
        <v>1487.3093319499144</v>
      </c>
      <c r="N22" s="225">
        <f t="shared" si="32"/>
        <v>1710.9538146037835</v>
      </c>
      <c r="O22" s="226">
        <f t="shared" si="32"/>
        <v>1947.9790259670895</v>
      </c>
      <c r="Q22" s="32"/>
      <c r="R22" s="32"/>
    </row>
    <row r="23" spans="2:21" ht="18" customHeight="1" x14ac:dyDescent="0.3">
      <c r="B23" s="1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Q23" s="32"/>
      <c r="R23" s="32"/>
    </row>
    <row r="24" spans="2:21" ht="18" customHeight="1" x14ac:dyDescent="0.3">
      <c r="B24" s="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Q24" s="32"/>
      <c r="R24" s="32"/>
    </row>
    <row r="25" spans="2:21" ht="18" customHeight="1" x14ac:dyDescent="0.3">
      <c r="I25" s="62"/>
      <c r="J25" s="62"/>
      <c r="K25" s="62"/>
      <c r="L25" s="62"/>
      <c r="M25" s="62"/>
      <c r="N25" s="62"/>
      <c r="O25" s="62"/>
      <c r="Q25" s="32"/>
      <c r="R25" s="32"/>
    </row>
    <row r="26" spans="2:21" ht="18" customHeight="1" x14ac:dyDescent="0.3"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Q26" s="32"/>
      <c r="R26" s="32"/>
    </row>
    <row r="27" spans="2:21" ht="18" customHeight="1" x14ac:dyDescent="0.4">
      <c r="B27" s="45" t="s">
        <v>176</v>
      </c>
      <c r="C27"/>
      <c r="D27"/>
      <c r="E27"/>
      <c r="F27"/>
      <c r="G27"/>
      <c r="H27"/>
      <c r="I27"/>
      <c r="J27"/>
      <c r="K27"/>
      <c r="L27"/>
      <c r="M27"/>
      <c r="N27"/>
      <c r="O27"/>
      <c r="Q27" s="32"/>
      <c r="R27" s="32"/>
    </row>
    <row r="28" spans="2:21" ht="18" customHeight="1" x14ac:dyDescent="0.3">
      <c r="B28" s="125" t="s">
        <v>17</v>
      </c>
      <c r="C28" s="209">
        <v>2022</v>
      </c>
      <c r="D28" s="209">
        <f>C28+1</f>
        <v>2023</v>
      </c>
      <c r="E28" s="209">
        <f t="shared" ref="E28" si="33">D28+1</f>
        <v>2024</v>
      </c>
      <c r="F28" s="209">
        <f t="shared" ref="F28" si="34">E28+1</f>
        <v>2025</v>
      </c>
      <c r="G28" s="209">
        <f t="shared" ref="G28" si="35">F28+1</f>
        <v>2026</v>
      </c>
      <c r="H28" s="210">
        <f t="shared" ref="H28" si="36">G28+1</f>
        <v>2027</v>
      </c>
      <c r="I28" s="210">
        <f t="shared" ref="I28" si="37">H28+1</f>
        <v>2028</v>
      </c>
      <c r="J28" s="210">
        <f t="shared" ref="J28" si="38">I28+1</f>
        <v>2029</v>
      </c>
      <c r="K28" s="210">
        <f t="shared" ref="K28" si="39">J28+1</f>
        <v>2030</v>
      </c>
      <c r="L28" s="210">
        <f t="shared" ref="L28" si="40">K28+1</f>
        <v>2031</v>
      </c>
      <c r="M28" s="210">
        <f t="shared" ref="M28" si="41">L28+1</f>
        <v>2032</v>
      </c>
      <c r="N28" s="210">
        <f t="shared" ref="N28" si="42">M28+1</f>
        <v>2033</v>
      </c>
      <c r="O28" s="211">
        <f t="shared" ref="O28" si="43">N28+1</f>
        <v>2034</v>
      </c>
      <c r="Q28" s="32"/>
      <c r="R28" s="32"/>
    </row>
    <row r="29" spans="2:21" ht="18" customHeight="1" x14ac:dyDescent="0.3">
      <c r="B29" s="66"/>
      <c r="C29" s="57"/>
      <c r="D29" s="57"/>
      <c r="E29" s="57"/>
      <c r="F29" s="57"/>
      <c r="G29" s="57"/>
      <c r="H29" s="58"/>
      <c r="I29" s="58"/>
      <c r="J29" s="58"/>
      <c r="K29" s="58"/>
      <c r="L29" s="58"/>
      <c r="M29" s="58"/>
      <c r="N29" s="58"/>
      <c r="O29" s="67"/>
      <c r="Q29" s="32"/>
      <c r="R29" s="32"/>
    </row>
    <row r="30" spans="2:21" ht="18" customHeight="1" x14ac:dyDescent="0.3">
      <c r="B30" s="68" t="s">
        <v>177</v>
      </c>
      <c r="C30" s="33">
        <f t="shared" ref="C30:K30" si="44">C11</f>
        <v>11.9</v>
      </c>
      <c r="D30" s="33">
        <f t="shared" si="44"/>
        <v>16</v>
      </c>
      <c r="E30" s="33">
        <f t="shared" si="44"/>
        <v>21</v>
      </c>
      <c r="F30" s="33">
        <f t="shared" si="44"/>
        <v>40</v>
      </c>
      <c r="G30" s="33">
        <f t="shared" si="44"/>
        <v>37</v>
      </c>
      <c r="H30" s="33">
        <f>H11</f>
        <v>40.837343050000001</v>
      </c>
      <c r="I30" s="33">
        <f t="shared" si="44"/>
        <v>53.837158024500006</v>
      </c>
      <c r="J30" s="33">
        <f t="shared" si="44"/>
        <v>68.139567507459986</v>
      </c>
      <c r="K30" s="33">
        <f t="shared" si="44"/>
        <v>83.581638253472192</v>
      </c>
      <c r="L30" s="33">
        <f t="shared" ref="L30:N30" si="45">L11</f>
        <v>100.02463292786148</v>
      </c>
      <c r="M30" s="33">
        <f t="shared" si="45"/>
        <v>117.45339381522065</v>
      </c>
      <c r="N30" s="33">
        <f t="shared" si="45"/>
        <v>135.92618372853218</v>
      </c>
      <c r="O30" s="70">
        <f>O11</f>
        <v>155.5046457242621</v>
      </c>
      <c r="P30" s="32"/>
      <c r="Q30" s="32"/>
      <c r="R30" s="32"/>
    </row>
    <row r="31" spans="2:21" ht="18" customHeight="1" x14ac:dyDescent="0.3">
      <c r="B31" s="68" t="s">
        <v>178</v>
      </c>
      <c r="C31" s="60">
        <f t="shared" ref="C31:K31" si="46">C20</f>
        <v>38</v>
      </c>
      <c r="D31" s="60">
        <f t="shared" si="46"/>
        <v>20.3</v>
      </c>
      <c r="E31" s="60">
        <f t="shared" si="46"/>
        <v>0</v>
      </c>
      <c r="F31" s="60">
        <f t="shared" si="46"/>
        <v>0</v>
      </c>
      <c r="G31" s="60">
        <f t="shared" si="46"/>
        <v>0</v>
      </c>
      <c r="H31" s="60">
        <f t="shared" si="46"/>
        <v>0</v>
      </c>
      <c r="I31" s="60">
        <f t="shared" si="46"/>
        <v>0</v>
      </c>
      <c r="J31" s="60">
        <f t="shared" si="46"/>
        <v>0</v>
      </c>
      <c r="K31" s="60">
        <f t="shared" si="46"/>
        <v>0</v>
      </c>
      <c r="L31" s="60">
        <f t="shared" ref="L31:O31" si="47">L20</f>
        <v>0</v>
      </c>
      <c r="M31" s="60">
        <f t="shared" si="47"/>
        <v>0</v>
      </c>
      <c r="N31" s="60">
        <f t="shared" si="47"/>
        <v>0</v>
      </c>
      <c r="O31" s="77">
        <f t="shared" si="47"/>
        <v>0</v>
      </c>
      <c r="Q31" s="32"/>
      <c r="R31" s="32"/>
    </row>
    <row r="32" spans="2:21" ht="18" customHeight="1" x14ac:dyDescent="0.3">
      <c r="B32" s="68" t="s">
        <v>179</v>
      </c>
      <c r="C32" s="64">
        <v>38.1</v>
      </c>
      <c r="D32" s="64">
        <v>67.599999999999994</v>
      </c>
      <c r="E32" s="64">
        <v>55</v>
      </c>
      <c r="F32" s="64">
        <v>49</v>
      </c>
      <c r="G32" s="64">
        <v>121</v>
      </c>
      <c r="H32" s="60">
        <f>Assumptions!E21</f>
        <v>55</v>
      </c>
      <c r="I32" s="60">
        <f>Assumptions!F21</f>
        <v>55</v>
      </c>
      <c r="J32" s="60">
        <f>Assumptions!G21</f>
        <v>55</v>
      </c>
      <c r="K32" s="60">
        <f>Assumptions!H21</f>
        <v>55</v>
      </c>
      <c r="L32" s="60">
        <f>Assumptions!I21</f>
        <v>55</v>
      </c>
      <c r="M32" s="60">
        <f>Assumptions!J21</f>
        <v>55</v>
      </c>
      <c r="N32" s="60">
        <f>Assumptions!K21</f>
        <v>55</v>
      </c>
      <c r="O32" s="77">
        <f>Assumptions!L21</f>
        <v>55</v>
      </c>
      <c r="P32" s="32"/>
      <c r="Q32" s="32"/>
      <c r="R32" s="32"/>
      <c r="S32" s="32"/>
      <c r="T32" s="32"/>
      <c r="U32" s="32"/>
    </row>
    <row r="33" spans="2:24" ht="18" customHeight="1" x14ac:dyDescent="0.3">
      <c r="B33" s="78" t="s">
        <v>20</v>
      </c>
      <c r="C33" s="79">
        <f>SUM(C30:C32)</f>
        <v>88</v>
      </c>
      <c r="D33" s="79">
        <f t="shared" ref="D33:K33" si="48">SUM(D30:D32)</f>
        <v>103.89999999999999</v>
      </c>
      <c r="E33" s="79">
        <f t="shared" si="48"/>
        <v>76</v>
      </c>
      <c r="F33" s="79">
        <f t="shared" si="48"/>
        <v>89</v>
      </c>
      <c r="G33" s="79">
        <f t="shared" si="48"/>
        <v>158</v>
      </c>
      <c r="H33" s="79">
        <f t="shared" si="48"/>
        <v>95.837343050000001</v>
      </c>
      <c r="I33" s="79">
        <f t="shared" si="48"/>
        <v>108.83715802450001</v>
      </c>
      <c r="J33" s="79">
        <f t="shared" si="48"/>
        <v>123.13956750745999</v>
      </c>
      <c r="K33" s="79">
        <f t="shared" si="48"/>
        <v>138.58163825347219</v>
      </c>
      <c r="L33" s="79">
        <f t="shared" ref="L33:O33" si="49">SUM(L30:L32)</f>
        <v>155.02463292786149</v>
      </c>
      <c r="M33" s="79">
        <f t="shared" si="49"/>
        <v>172.45339381522064</v>
      </c>
      <c r="N33" s="79">
        <f t="shared" si="49"/>
        <v>190.92618372853218</v>
      </c>
      <c r="O33" s="80">
        <f t="shared" si="49"/>
        <v>210.5046457242621</v>
      </c>
      <c r="P33" s="32"/>
      <c r="Q33" s="32"/>
      <c r="R33" s="32"/>
    </row>
    <row r="34" spans="2:24" ht="18" customHeight="1" x14ac:dyDescent="0.3">
      <c r="B34" s="1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32"/>
      <c r="Q34" s="32"/>
      <c r="R34" s="32"/>
    </row>
    <row r="35" spans="2:24" ht="18" customHeight="1" x14ac:dyDescent="0.3">
      <c r="B35" s="1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32"/>
      <c r="Q35" s="32"/>
      <c r="R35" s="32"/>
    </row>
    <row r="36" spans="2:24" ht="18" customHeight="1" x14ac:dyDescent="0.3">
      <c r="C36" s="87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32"/>
      <c r="R36" s="32"/>
    </row>
    <row r="37" spans="2:24" ht="18" customHeight="1" x14ac:dyDescent="0.4">
      <c r="B37" s="45" t="s">
        <v>147</v>
      </c>
      <c r="R37" s="32"/>
    </row>
    <row r="38" spans="2:24" ht="18" customHeight="1" x14ac:dyDescent="0.3">
      <c r="B38" s="125" t="s">
        <v>17</v>
      </c>
      <c r="C38" s="209">
        <v>2022</v>
      </c>
      <c r="D38" s="209">
        <f>C38+1</f>
        <v>2023</v>
      </c>
      <c r="E38" s="209">
        <f t="shared" ref="E38" si="50">D38+1</f>
        <v>2024</v>
      </c>
      <c r="F38" s="209">
        <f t="shared" ref="F38" si="51">E38+1</f>
        <v>2025</v>
      </c>
      <c r="G38" s="209">
        <f t="shared" ref="G38" si="52">F38+1</f>
        <v>2026</v>
      </c>
      <c r="H38" s="210">
        <f t="shared" ref="H38" si="53">G38+1</f>
        <v>2027</v>
      </c>
      <c r="I38" s="210">
        <f t="shared" ref="I38" si="54">H38+1</f>
        <v>2028</v>
      </c>
      <c r="J38" s="210">
        <f t="shared" ref="J38" si="55">I38+1</f>
        <v>2029</v>
      </c>
      <c r="K38" s="210">
        <f t="shared" ref="K38" si="56">J38+1</f>
        <v>2030</v>
      </c>
      <c r="L38" s="210">
        <f t="shared" ref="L38" si="57">K38+1</f>
        <v>2031</v>
      </c>
      <c r="M38" s="210">
        <f t="shared" ref="M38" si="58">L38+1</f>
        <v>2032</v>
      </c>
      <c r="N38" s="210">
        <f t="shared" ref="N38" si="59">M38+1</f>
        <v>2033</v>
      </c>
      <c r="O38" s="211">
        <f t="shared" ref="O38" si="60">N38+1</f>
        <v>2034</v>
      </c>
    </row>
    <row r="39" spans="2:24" ht="18" customHeight="1" x14ac:dyDescent="0.3">
      <c r="B39" s="68"/>
      <c r="C39" s="57"/>
      <c r="D39" s="57"/>
      <c r="E39" s="57"/>
      <c r="F39" s="57"/>
      <c r="G39" s="57"/>
      <c r="H39" s="58"/>
      <c r="I39" s="58"/>
      <c r="J39" s="58"/>
      <c r="K39" s="58"/>
      <c r="L39" s="58"/>
      <c r="M39" s="58"/>
      <c r="N39" s="58"/>
      <c r="O39" s="67"/>
    </row>
    <row r="40" spans="2:24" ht="18" customHeight="1" x14ac:dyDescent="0.3">
      <c r="B40" s="68" t="s">
        <v>142</v>
      </c>
      <c r="C40" s="212">
        <f>PL!H5</f>
        <v>9712.4</v>
      </c>
      <c r="D40" s="212">
        <f>PL!I5</f>
        <v>10612</v>
      </c>
      <c r="E40" s="212">
        <f>PL!J5</f>
        <v>11321</v>
      </c>
      <c r="F40" s="212">
        <f>PL!K5</f>
        <v>12069</v>
      </c>
      <c r="G40" s="212">
        <f>PL!L5</f>
        <v>12467</v>
      </c>
      <c r="H40" s="212">
        <f>PL!M5</f>
        <v>13589.03</v>
      </c>
      <c r="I40" s="212">
        <f>PL!N5</f>
        <v>14812.042700000002</v>
      </c>
      <c r="J40" s="212">
        <f>PL!O5</f>
        <v>15997.006116000002</v>
      </c>
      <c r="K40" s="212">
        <f>PL!P5</f>
        <v>17116.796544120003</v>
      </c>
      <c r="L40" s="212">
        <f>PL!Q5</f>
        <v>18229.388319487804</v>
      </c>
      <c r="M40" s="212">
        <f>PL!R5</f>
        <v>19414.298560254509</v>
      </c>
      <c r="N40" s="212">
        <f>PL!S5</f>
        <v>20676.227966671049</v>
      </c>
      <c r="O40" s="69">
        <f>PL!T5</f>
        <v>22020.182784504665</v>
      </c>
    </row>
    <row r="41" spans="2:24" ht="18" customHeight="1" x14ac:dyDescent="0.3">
      <c r="B41" s="68" t="s">
        <v>148</v>
      </c>
      <c r="C41" s="32">
        <v>88.3</v>
      </c>
      <c r="D41" s="33">
        <f>C44</f>
        <v>87.699999999999989</v>
      </c>
      <c r="E41" s="33">
        <f t="shared" ref="E41:K41" si="61">D44</f>
        <v>66.800000000000011</v>
      </c>
      <c r="F41" s="33">
        <f t="shared" si="61"/>
        <v>36.800000000000011</v>
      </c>
      <c r="G41" s="33">
        <f>F44</f>
        <v>71.800000000000011</v>
      </c>
      <c r="H41" s="33">
        <f t="shared" si="61"/>
        <v>77</v>
      </c>
      <c r="I41" s="33">
        <f t="shared" si="61"/>
        <v>77.000000000000028</v>
      </c>
      <c r="J41" s="33">
        <f t="shared" si="61"/>
        <v>77.000000000000028</v>
      </c>
      <c r="K41" s="33">
        <f t="shared" si="61"/>
        <v>77.000000000000028</v>
      </c>
      <c r="L41" s="33">
        <f t="shared" ref="L41" si="62">K44</f>
        <v>77.000000000000057</v>
      </c>
      <c r="M41" s="33">
        <f t="shared" ref="M41" si="63">L44</f>
        <v>77.000000000000057</v>
      </c>
      <c r="N41" s="33">
        <f t="shared" ref="N41" si="64">M44</f>
        <v>77.000000000000057</v>
      </c>
      <c r="O41" s="70">
        <f t="shared" ref="O41" si="65">N44</f>
        <v>77.000000000000057</v>
      </c>
    </row>
    <row r="42" spans="2:24" ht="18" customHeight="1" x14ac:dyDescent="0.3">
      <c r="B42" s="68" t="s">
        <v>158</v>
      </c>
      <c r="C42" s="32">
        <v>123.4</v>
      </c>
      <c r="D42" s="213">
        <v>114.3</v>
      </c>
      <c r="E42" s="213">
        <v>96</v>
      </c>
      <c r="F42" s="213">
        <v>161</v>
      </c>
      <c r="G42" s="213">
        <v>181</v>
      </c>
      <c r="H42" s="32">
        <f>H40*Assumptions!E12</f>
        <v>203.83545000000001</v>
      </c>
      <c r="I42" s="32">
        <f>I40*Assumptions!F12</f>
        <v>222.18064050000001</v>
      </c>
      <c r="J42" s="32">
        <f>J40*Assumptions!G12</f>
        <v>239.95509174000003</v>
      </c>
      <c r="K42" s="32">
        <f>K40*Assumptions!H12</f>
        <v>256.75194816180004</v>
      </c>
      <c r="L42" s="32">
        <f>L40*Assumptions!I12</f>
        <v>273.44082479231702</v>
      </c>
      <c r="M42" s="32">
        <f>M40*Assumptions!J12</f>
        <v>291.21447840381762</v>
      </c>
      <c r="N42" s="32">
        <f>N40*Assumptions!K12</f>
        <v>310.1434195000657</v>
      </c>
      <c r="O42" s="71">
        <f>O40*Assumptions!L12</f>
        <v>330.30274176756996</v>
      </c>
    </row>
    <row r="43" spans="2:24" ht="18" customHeight="1" x14ac:dyDescent="0.3">
      <c r="B43" s="68" t="s">
        <v>149</v>
      </c>
      <c r="C43" s="32">
        <v>-124</v>
      </c>
      <c r="D43" s="213">
        <v>-135.19999999999999</v>
      </c>
      <c r="E43" s="213">
        <v>-126</v>
      </c>
      <c r="F43" s="213">
        <v>-126</v>
      </c>
      <c r="G43" s="213">
        <v>-175.8</v>
      </c>
      <c r="H43" s="33">
        <f>-H42</f>
        <v>-203.83545000000001</v>
      </c>
      <c r="I43" s="33">
        <f t="shared" ref="I43:K43" si="66">-I42</f>
        <v>-222.18064050000001</v>
      </c>
      <c r="J43" s="33">
        <f t="shared" si="66"/>
        <v>-239.95509174000003</v>
      </c>
      <c r="K43" s="33">
        <f t="shared" si="66"/>
        <v>-256.75194816180004</v>
      </c>
      <c r="L43" s="33">
        <f t="shared" ref="L43:O43" si="67">-L42</f>
        <v>-273.44082479231702</v>
      </c>
      <c r="M43" s="33">
        <f t="shared" si="67"/>
        <v>-291.21447840381762</v>
      </c>
      <c r="N43" s="33">
        <f t="shared" si="67"/>
        <v>-310.1434195000657</v>
      </c>
      <c r="O43" s="70">
        <f t="shared" si="67"/>
        <v>-330.30274176756996</v>
      </c>
    </row>
    <row r="44" spans="2:24" ht="18" customHeight="1" x14ac:dyDescent="0.3">
      <c r="B44" s="72" t="s">
        <v>150</v>
      </c>
      <c r="C44" s="73">
        <f>SUM(C41:C43)</f>
        <v>87.699999999999989</v>
      </c>
      <c r="D44" s="73">
        <f>SUM(D41:D43)</f>
        <v>66.800000000000011</v>
      </c>
      <c r="E44" s="73">
        <f t="shared" ref="E44:K44" si="68">SUM(E41:E43)</f>
        <v>36.800000000000011</v>
      </c>
      <c r="F44" s="73">
        <f t="shared" si="68"/>
        <v>71.800000000000011</v>
      </c>
      <c r="G44" s="73">
        <f>SUM(G41:G43)</f>
        <v>77</v>
      </c>
      <c r="H44" s="73">
        <f t="shared" si="68"/>
        <v>77.000000000000028</v>
      </c>
      <c r="I44" s="73">
        <f t="shared" si="68"/>
        <v>77.000000000000028</v>
      </c>
      <c r="J44" s="73">
        <f t="shared" si="68"/>
        <v>77.000000000000028</v>
      </c>
      <c r="K44" s="73">
        <f t="shared" si="68"/>
        <v>77.000000000000057</v>
      </c>
      <c r="L44" s="73">
        <f t="shared" ref="L44:O44" si="69">SUM(L41:L43)</f>
        <v>77.000000000000057</v>
      </c>
      <c r="M44" s="73">
        <f t="shared" si="69"/>
        <v>77.000000000000057</v>
      </c>
      <c r="N44" s="73">
        <f t="shared" si="69"/>
        <v>77.000000000000057</v>
      </c>
      <c r="O44" s="74">
        <f t="shared" si="69"/>
        <v>77.000000000000057</v>
      </c>
    </row>
    <row r="47" spans="2:24" ht="18" customHeight="1" x14ac:dyDescent="0.3">
      <c r="W47" s="298"/>
      <c r="X47" s="298"/>
    </row>
    <row r="48" spans="2:24" ht="18" customHeight="1" x14ac:dyDescent="0.4">
      <c r="B48" s="45" t="s">
        <v>133</v>
      </c>
      <c r="W48" s="1"/>
    </row>
    <row r="49" spans="2:23" ht="18" customHeight="1" x14ac:dyDescent="0.3">
      <c r="B49" s="125" t="s">
        <v>17</v>
      </c>
      <c r="C49" s="209">
        <v>2022</v>
      </c>
      <c r="D49" s="209">
        <f>C49+1</f>
        <v>2023</v>
      </c>
      <c r="E49" s="209">
        <f t="shared" ref="E49:K49" si="70">D49+1</f>
        <v>2024</v>
      </c>
      <c r="F49" s="209">
        <f t="shared" si="70"/>
        <v>2025</v>
      </c>
      <c r="G49" s="209">
        <f t="shared" si="70"/>
        <v>2026</v>
      </c>
      <c r="H49" s="210">
        <f t="shared" si="70"/>
        <v>2027</v>
      </c>
      <c r="I49" s="210">
        <f t="shared" si="70"/>
        <v>2028</v>
      </c>
      <c r="J49" s="210">
        <f t="shared" si="70"/>
        <v>2029</v>
      </c>
      <c r="K49" s="210">
        <f t="shared" si="70"/>
        <v>2030</v>
      </c>
      <c r="L49" s="210">
        <f t="shared" ref="L49" si="71">K49+1</f>
        <v>2031</v>
      </c>
      <c r="M49" s="210">
        <f t="shared" ref="M49" si="72">L49+1</f>
        <v>2032</v>
      </c>
      <c r="N49" s="210">
        <f t="shared" ref="N49" si="73">M49+1</f>
        <v>2033</v>
      </c>
      <c r="O49" s="211">
        <f t="shared" ref="O49" si="74">N49+1</f>
        <v>2034</v>
      </c>
      <c r="W49" s="1"/>
    </row>
    <row r="50" spans="2:23" ht="18" customHeight="1" x14ac:dyDescent="0.3">
      <c r="B50" s="68"/>
      <c r="O50" s="71"/>
      <c r="W50" s="1"/>
    </row>
    <row r="51" spans="2:23" ht="18" customHeight="1" x14ac:dyDescent="0.3">
      <c r="B51" s="68" t="s">
        <v>134</v>
      </c>
      <c r="C51" s="46">
        <v>164.4</v>
      </c>
      <c r="D51" s="33">
        <f>C55</f>
        <v>260.60000000000002</v>
      </c>
      <c r="E51" s="33">
        <f t="shared" ref="E51:K51" si="75">D55</f>
        <v>172.60000000000002</v>
      </c>
      <c r="F51" s="33">
        <f t="shared" si="75"/>
        <v>226.60000000000002</v>
      </c>
      <c r="G51" s="33">
        <f t="shared" si="75"/>
        <v>456.6</v>
      </c>
      <c r="H51" s="33">
        <f t="shared" si="75"/>
        <v>595.87400000000002</v>
      </c>
      <c r="I51" s="33">
        <f t="shared" si="75"/>
        <v>671.22666100000004</v>
      </c>
      <c r="J51" s="33">
        <f t="shared" si="75"/>
        <v>746.8438611900001</v>
      </c>
      <c r="K51" s="33">
        <f t="shared" si="75"/>
        <v>821.9347172022002</v>
      </c>
      <c r="L51" s="33">
        <f t="shared" ref="L51" si="76">K55</f>
        <v>895.43839741658417</v>
      </c>
      <c r="M51" s="33">
        <f t="shared" ref="M51" si="77">L55</f>
        <v>967.69643976603072</v>
      </c>
      <c r="N51" s="33">
        <f t="shared" ref="N51" si="78">M55</f>
        <v>1040.4348909129808</v>
      </c>
      <c r="O51" s="70">
        <f t="shared" ref="O51" si="79">N55</f>
        <v>1114.9498866158351</v>
      </c>
      <c r="W51" s="1"/>
    </row>
    <row r="52" spans="2:23" ht="18" customHeight="1" x14ac:dyDescent="0.3">
      <c r="B52" s="68" t="s">
        <v>135</v>
      </c>
      <c r="C52" s="46">
        <v>229.2</v>
      </c>
      <c r="D52" s="46">
        <v>85.8</v>
      </c>
      <c r="E52" s="46">
        <v>184</v>
      </c>
      <c r="F52" s="46">
        <v>394</v>
      </c>
      <c r="G52" s="91">
        <f>G40*0.022</f>
        <v>274.274</v>
      </c>
      <c r="H52" s="32">
        <f>Assumptions!E15*H40</f>
        <v>298.95866000000001</v>
      </c>
      <c r="I52" s="32">
        <f>Assumptions!F15*I40</f>
        <v>325.86493940000003</v>
      </c>
      <c r="J52" s="32">
        <f>Assumptions!G15*J40</f>
        <v>351.93413455200005</v>
      </c>
      <c r="K52" s="32">
        <f>Assumptions!H15*K40</f>
        <v>376.56952397064003</v>
      </c>
      <c r="L52" s="32">
        <f>Assumptions!I15*L40</f>
        <v>401.04654302873166</v>
      </c>
      <c r="M52" s="32">
        <f>Assumptions!J15*M40</f>
        <v>427.11456832559918</v>
      </c>
      <c r="N52" s="32">
        <f>Assumptions!K15*N40</f>
        <v>454.87701526676307</v>
      </c>
      <c r="O52" s="71">
        <f>Assumptions!L15*O40</f>
        <v>484.44402125910261</v>
      </c>
    </row>
    <row r="53" spans="2:23" ht="18" customHeight="1" x14ac:dyDescent="0.3">
      <c r="B53" s="68" t="s">
        <v>24</v>
      </c>
      <c r="C53" s="46">
        <v>-109.9</v>
      </c>
      <c r="D53" s="46">
        <v>-130.1</v>
      </c>
      <c r="E53" s="46">
        <v>-129</v>
      </c>
      <c r="F53" s="46">
        <v>-147</v>
      </c>
      <c r="G53" s="46">
        <v>-135</v>
      </c>
      <c r="H53" s="32">
        <f>-Assumptions!E16*('Working Schedules'!H51+0.5*'Working Schedules'!H52)</f>
        <v>-223.605999</v>
      </c>
      <c r="I53" s="32">
        <f>-Assumptions!F16*('Working Schedules'!I51+0.5*'Working Schedules'!I52)</f>
        <v>-250.24773921000002</v>
      </c>
      <c r="J53" s="32">
        <f>-Assumptions!G16*('Working Schedules'!J51+0.5*'Working Schedules'!J52)</f>
        <v>-276.84327853980005</v>
      </c>
      <c r="K53" s="32">
        <f>-Assumptions!H16*('Working Schedules'!K51+0.5*'Working Schedules'!K52)</f>
        <v>-303.06584375625602</v>
      </c>
      <c r="L53" s="32">
        <f>-Assumptions!I16*('Working Schedules'!L51+0.5*'Working Schedules'!L52)</f>
        <v>-328.78850067928499</v>
      </c>
      <c r="M53" s="32">
        <f>-Assumptions!J16*('Working Schedules'!M51+0.5*'Working Schedules'!M52)</f>
        <v>-354.37611717864911</v>
      </c>
      <c r="N53" s="32">
        <f>-Assumptions!K16*('Working Schedules'!N51+0.5*'Working Schedules'!N52)</f>
        <v>-380.36201956390869</v>
      </c>
      <c r="O53" s="71">
        <f>-Assumptions!L16*('Working Schedules'!O51+0.5*'Working Schedules'!O52)</f>
        <v>-407.15156917361588</v>
      </c>
    </row>
    <row r="54" spans="2:23" ht="18" customHeight="1" x14ac:dyDescent="0.3">
      <c r="B54" s="68" t="s">
        <v>157</v>
      </c>
      <c r="C54" s="46">
        <v>-23.1</v>
      </c>
      <c r="D54" s="46">
        <v>-43.7</v>
      </c>
      <c r="E54" s="46">
        <v>-1</v>
      </c>
      <c r="F54" s="46">
        <v>-17</v>
      </c>
      <c r="G54" s="46"/>
      <c r="O54" s="71"/>
    </row>
    <row r="55" spans="2:23" ht="18" customHeight="1" x14ac:dyDescent="0.3">
      <c r="B55" s="72" t="s">
        <v>136</v>
      </c>
      <c r="C55" s="81">
        <f t="shared" ref="C55:K55" si="80">SUM(C51:C54)</f>
        <v>260.60000000000002</v>
      </c>
      <c r="D55" s="73">
        <f t="shared" si="80"/>
        <v>172.60000000000002</v>
      </c>
      <c r="E55" s="73">
        <f t="shared" si="80"/>
        <v>226.60000000000002</v>
      </c>
      <c r="F55" s="73">
        <f t="shared" si="80"/>
        <v>456.6</v>
      </c>
      <c r="G55" s="73">
        <f t="shared" si="80"/>
        <v>595.87400000000002</v>
      </c>
      <c r="H55" s="73">
        <f t="shared" si="80"/>
        <v>671.22666100000004</v>
      </c>
      <c r="I55" s="73">
        <f t="shared" si="80"/>
        <v>746.8438611900001</v>
      </c>
      <c r="J55" s="73">
        <f t="shared" si="80"/>
        <v>821.9347172022002</v>
      </c>
      <c r="K55" s="73">
        <f t="shared" si="80"/>
        <v>895.43839741658417</v>
      </c>
      <c r="L55" s="73">
        <f t="shared" ref="L55:O55" si="81">SUM(L51:L54)</f>
        <v>967.69643976603072</v>
      </c>
      <c r="M55" s="73">
        <f t="shared" si="81"/>
        <v>1040.4348909129808</v>
      </c>
      <c r="N55" s="73">
        <f t="shared" si="81"/>
        <v>1114.9498866158351</v>
      </c>
      <c r="O55" s="74">
        <f t="shared" si="81"/>
        <v>1192.2423387013218</v>
      </c>
    </row>
    <row r="56" spans="2:23" ht="18" customHeight="1" x14ac:dyDescent="0.3">
      <c r="C56" s="46"/>
    </row>
    <row r="58" spans="2:23" ht="18" customHeight="1" x14ac:dyDescent="0.3">
      <c r="S58" s="32"/>
    </row>
    <row r="59" spans="2:23" ht="18" customHeight="1" x14ac:dyDescent="0.4">
      <c r="B59" s="45" t="s">
        <v>195</v>
      </c>
    </row>
    <row r="60" spans="2:23" ht="18" customHeight="1" x14ac:dyDescent="0.3">
      <c r="B60" s="125" t="s">
        <v>17</v>
      </c>
      <c r="C60" s="209">
        <v>2022</v>
      </c>
      <c r="D60" s="209">
        <f>C60+1</f>
        <v>2023</v>
      </c>
      <c r="E60" s="209">
        <f t="shared" ref="E60" si="82">D60+1</f>
        <v>2024</v>
      </c>
      <c r="F60" s="209">
        <f t="shared" ref="F60" si="83">E60+1</f>
        <v>2025</v>
      </c>
      <c r="G60" s="209">
        <f t="shared" ref="G60" si="84">F60+1</f>
        <v>2026</v>
      </c>
      <c r="H60" s="210">
        <f t="shared" ref="H60" si="85">G60+1</f>
        <v>2027</v>
      </c>
      <c r="I60" s="210">
        <f t="shared" ref="I60" si="86">H60+1</f>
        <v>2028</v>
      </c>
      <c r="J60" s="210">
        <f t="shared" ref="J60" si="87">I60+1</f>
        <v>2029</v>
      </c>
      <c r="K60" s="210">
        <f t="shared" ref="K60" si="88">J60+1</f>
        <v>2030</v>
      </c>
      <c r="L60" s="210">
        <f t="shared" ref="L60" si="89">K60+1</f>
        <v>2031</v>
      </c>
      <c r="M60" s="210">
        <f t="shared" ref="M60" si="90">L60+1</f>
        <v>2032</v>
      </c>
      <c r="N60" s="210">
        <f t="shared" ref="N60" si="91">M60+1</f>
        <v>2033</v>
      </c>
      <c r="O60" s="211">
        <f t="shared" ref="O60" si="92">N60+1</f>
        <v>2034</v>
      </c>
    </row>
    <row r="61" spans="2:23" ht="18" customHeight="1" x14ac:dyDescent="0.3">
      <c r="B61" s="68"/>
      <c r="O61" s="71"/>
    </row>
    <row r="62" spans="2:23" ht="18" customHeight="1" x14ac:dyDescent="0.3">
      <c r="B62" s="68" t="s">
        <v>155</v>
      </c>
      <c r="C62" s="46">
        <v>2247</v>
      </c>
      <c r="D62" s="46">
        <f>C65</f>
        <v>2250</v>
      </c>
      <c r="E62" s="46">
        <f t="shared" ref="E62:K62" si="93">D65</f>
        <v>2011.9999999999998</v>
      </c>
      <c r="F62" s="46">
        <f t="shared" si="93"/>
        <v>1893</v>
      </c>
      <c r="G62" s="46">
        <f t="shared" si="93"/>
        <v>1939</v>
      </c>
      <c r="H62" s="46">
        <f t="shared" si="93"/>
        <v>2109</v>
      </c>
      <c r="I62" s="46">
        <f t="shared" si="93"/>
        <v>2299.2464199999999</v>
      </c>
      <c r="J62" s="46">
        <f t="shared" si="93"/>
        <v>2506.6150177999998</v>
      </c>
      <c r="K62" s="46">
        <f t="shared" si="93"/>
        <v>2730.5731034239998</v>
      </c>
      <c r="L62" s="46">
        <f t="shared" ref="L62" si="94">K65</f>
        <v>2970.2082550416799</v>
      </c>
      <c r="M62" s="46">
        <f t="shared" ref="M62" si="95">L65</f>
        <v>3225.4196915145089</v>
      </c>
      <c r="N62" s="46">
        <f t="shared" ref="N62" si="96">M65</f>
        <v>3497.2198713580719</v>
      </c>
      <c r="O62" s="82">
        <f t="shared" ref="O62" si="97">N65</f>
        <v>3786.6870628914667</v>
      </c>
    </row>
    <row r="63" spans="2:23" ht="18" customHeight="1" x14ac:dyDescent="0.3">
      <c r="B63" s="68" t="s">
        <v>137</v>
      </c>
      <c r="C63" s="46">
        <v>124</v>
      </c>
      <c r="D63" s="46">
        <v>145.19999999999999</v>
      </c>
      <c r="E63" s="46">
        <v>126</v>
      </c>
      <c r="F63" s="46">
        <v>126</v>
      </c>
      <c r="G63" s="46">
        <v>170</v>
      </c>
      <c r="H63" s="33">
        <f>H40*Assumptions!E13</f>
        <v>190.24642</v>
      </c>
      <c r="I63" s="33">
        <f>I40*Assumptions!F13</f>
        <v>207.36859780000003</v>
      </c>
      <c r="J63" s="33">
        <f>J40*Assumptions!G13</f>
        <v>223.95808562400003</v>
      </c>
      <c r="K63" s="33">
        <f>K40*Assumptions!H13</f>
        <v>239.63515161768004</v>
      </c>
      <c r="L63" s="33">
        <f>L40*Assumptions!I13</f>
        <v>255.21143647282926</v>
      </c>
      <c r="M63" s="33">
        <f>M40*Assumptions!J13</f>
        <v>271.80017984356311</v>
      </c>
      <c r="N63" s="33">
        <f>N40*Assumptions!K13</f>
        <v>289.46719153339467</v>
      </c>
      <c r="O63" s="70">
        <f>O40*Assumptions!L13</f>
        <v>308.28255898306531</v>
      </c>
    </row>
    <row r="64" spans="2:23" ht="18" customHeight="1" x14ac:dyDescent="0.3">
      <c r="B64" s="68" t="s">
        <v>154</v>
      </c>
      <c r="C64" s="46">
        <v>-121</v>
      </c>
      <c r="D64" s="46">
        <v>-383.2</v>
      </c>
      <c r="E64" s="46">
        <v>-245</v>
      </c>
      <c r="F64" s="46">
        <v>-80</v>
      </c>
      <c r="G64" s="46"/>
      <c r="O64" s="71"/>
      <c r="R64" s="52"/>
      <c r="S64" s="52"/>
      <c r="T64" s="52"/>
      <c r="U64" s="52"/>
    </row>
    <row r="65" spans="2:21" ht="18" customHeight="1" x14ac:dyDescent="0.3">
      <c r="B65" s="66" t="s">
        <v>150</v>
      </c>
      <c r="C65" s="208">
        <f>SUM(C62:C64)</f>
        <v>2250</v>
      </c>
      <c r="D65" s="208">
        <f t="shared" ref="D65:K65" si="98">SUM(D62:D64)</f>
        <v>2011.9999999999998</v>
      </c>
      <c r="E65" s="208">
        <f t="shared" si="98"/>
        <v>1893</v>
      </c>
      <c r="F65" s="208">
        <f t="shared" si="98"/>
        <v>1939</v>
      </c>
      <c r="G65" s="208">
        <f t="shared" si="98"/>
        <v>2109</v>
      </c>
      <c r="H65" s="208">
        <f t="shared" si="98"/>
        <v>2299.2464199999999</v>
      </c>
      <c r="I65" s="208">
        <f t="shared" si="98"/>
        <v>2506.6150177999998</v>
      </c>
      <c r="J65" s="208">
        <f t="shared" si="98"/>
        <v>2730.5731034239998</v>
      </c>
      <c r="K65" s="208">
        <f t="shared" si="98"/>
        <v>2970.2082550416799</v>
      </c>
      <c r="L65" s="208">
        <f t="shared" ref="L65:O65" si="99">SUM(L62:L64)</f>
        <v>3225.4196915145089</v>
      </c>
      <c r="M65" s="208">
        <f t="shared" si="99"/>
        <v>3497.2198713580719</v>
      </c>
      <c r="N65" s="208">
        <f t="shared" si="99"/>
        <v>3786.6870628914667</v>
      </c>
      <c r="O65" s="83">
        <f t="shared" si="99"/>
        <v>4094.9696218745321</v>
      </c>
      <c r="R65" s="52"/>
      <c r="S65" s="52"/>
      <c r="T65" s="52"/>
      <c r="U65" s="52"/>
    </row>
    <row r="66" spans="2:21" ht="18" customHeight="1" x14ac:dyDescent="0.3">
      <c r="B66" s="66" t="s">
        <v>153</v>
      </c>
      <c r="C66" s="84">
        <v>-1035</v>
      </c>
      <c r="D66" s="84">
        <v>-1033.7</v>
      </c>
      <c r="E66" s="84">
        <v>-1049</v>
      </c>
      <c r="F66" s="84">
        <v>-1089</v>
      </c>
      <c r="G66" s="30">
        <f>-(G65-G67)</f>
        <v>-894</v>
      </c>
      <c r="H66" s="30">
        <f>G66+H99</f>
        <v>-1037.70290125</v>
      </c>
      <c r="I66" s="30">
        <f>H66+I99</f>
        <v>-1194.3663398624999</v>
      </c>
      <c r="J66" s="30">
        <f>I66+J99</f>
        <v>-1365.0271588265</v>
      </c>
      <c r="K66" s="30">
        <f>J66+K99</f>
        <v>-1550.6651747666051</v>
      </c>
      <c r="L66" s="30">
        <f t="shared" ref="L66:O66" si="100">K66+L99</f>
        <v>-1752.2539054862618</v>
      </c>
      <c r="M66" s="30">
        <f t="shared" si="100"/>
        <v>-1970.8301474461414</v>
      </c>
      <c r="N66" s="30">
        <f t="shared" si="100"/>
        <v>-2207.4980888768582</v>
      </c>
      <c r="O66" s="85">
        <f t="shared" si="100"/>
        <v>-2463.4336902440164</v>
      </c>
      <c r="S66" s="32"/>
    </row>
    <row r="67" spans="2:21" ht="18" customHeight="1" x14ac:dyDescent="0.3">
      <c r="B67" s="72" t="s">
        <v>27</v>
      </c>
      <c r="C67" s="73">
        <f>SUM(C65:C66)</f>
        <v>1215</v>
      </c>
      <c r="D67" s="73">
        <f t="shared" ref="D67:K67" si="101">SUM(D65:D66)</f>
        <v>978.29999999999973</v>
      </c>
      <c r="E67" s="73">
        <f t="shared" si="101"/>
        <v>844</v>
      </c>
      <c r="F67" s="73">
        <f t="shared" si="101"/>
        <v>850</v>
      </c>
      <c r="G67" s="73">
        <v>1215</v>
      </c>
      <c r="H67" s="73">
        <f>SUM(H65:H66)</f>
        <v>1261.54351875</v>
      </c>
      <c r="I67" s="73">
        <f t="shared" si="101"/>
        <v>1312.2486779374999</v>
      </c>
      <c r="J67" s="73">
        <f t="shared" si="101"/>
        <v>1365.5459445974998</v>
      </c>
      <c r="K67" s="73">
        <f t="shared" si="101"/>
        <v>1419.5430802750748</v>
      </c>
      <c r="L67" s="73">
        <f t="shared" ref="L67:O67" si="102">SUM(L65:L66)</f>
        <v>1473.1657860282471</v>
      </c>
      <c r="M67" s="73">
        <f t="shared" si="102"/>
        <v>1526.3897239119306</v>
      </c>
      <c r="N67" s="73">
        <f t="shared" si="102"/>
        <v>1579.1889740146084</v>
      </c>
      <c r="O67" s="74">
        <f t="shared" si="102"/>
        <v>1631.5359316305157</v>
      </c>
      <c r="S67" s="54"/>
    </row>
    <row r="68" spans="2:21" ht="18" customHeight="1" x14ac:dyDescent="0.3">
      <c r="S68" s="54"/>
    </row>
    <row r="69" spans="2:21" ht="18" customHeight="1" x14ac:dyDescent="0.3">
      <c r="S69" s="54"/>
    </row>
    <row r="70" spans="2:21" ht="18" customHeight="1" x14ac:dyDescent="0.3">
      <c r="B70" s="92" t="s">
        <v>194</v>
      </c>
      <c r="C70" s="93"/>
      <c r="D70" s="93"/>
      <c r="E70" s="93"/>
      <c r="F70" s="93"/>
      <c r="G70" s="93"/>
      <c r="H70" s="93">
        <f>H53+H82+H99</f>
        <v>-377.01290025000003</v>
      </c>
      <c r="I70" s="93">
        <f t="shared" ref="I70:O70" si="103">I53+I82+I99</f>
        <v>-417.15873902250001</v>
      </c>
      <c r="J70" s="93">
        <f t="shared" si="103"/>
        <v>-458.34414041180003</v>
      </c>
      <c r="K70" s="93">
        <f t="shared" si="103"/>
        <v>-500.18378284900103</v>
      </c>
      <c r="L70" s="93">
        <f t="shared" si="103"/>
        <v>-542.5418264133466</v>
      </c>
      <c r="M70" s="93">
        <f t="shared" si="103"/>
        <v>-585.84612968571287</v>
      </c>
      <c r="N70" s="93">
        <f t="shared" si="103"/>
        <v>-630.70030348421983</v>
      </c>
      <c r="O70" s="94">
        <f t="shared" si="103"/>
        <v>-677.58456214903549</v>
      </c>
      <c r="S70" s="54"/>
    </row>
    <row r="71" spans="2:21" ht="18" customHeight="1" x14ac:dyDescent="0.3">
      <c r="B71" s="1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S71" s="54"/>
    </row>
    <row r="72" spans="2:21" ht="18" customHeight="1" x14ac:dyDescent="0.3">
      <c r="G72" s="106"/>
      <c r="S72" s="54"/>
    </row>
    <row r="73" spans="2:21" ht="18" customHeight="1" x14ac:dyDescent="0.4">
      <c r="B73" s="45" t="s">
        <v>196</v>
      </c>
      <c r="S73" s="54"/>
    </row>
    <row r="74" spans="2:21" ht="18" customHeight="1" x14ac:dyDescent="0.3">
      <c r="B74" s="227" t="s">
        <v>17</v>
      </c>
      <c r="C74" s="228">
        <v>2022</v>
      </c>
      <c r="D74" s="228">
        <f>C74+1</f>
        <v>2023</v>
      </c>
      <c r="E74" s="228">
        <f t="shared" ref="E74" si="104">D74+1</f>
        <v>2024</v>
      </c>
      <c r="F74" s="228">
        <f t="shared" ref="F74" si="105">E74+1</f>
        <v>2025</v>
      </c>
      <c r="G74" s="228">
        <f t="shared" ref="G74" si="106">F74+1</f>
        <v>2026</v>
      </c>
      <c r="H74" s="229">
        <f t="shared" ref="H74" si="107">G74+1</f>
        <v>2027</v>
      </c>
      <c r="I74" s="229">
        <f t="shared" ref="I74" si="108">H74+1</f>
        <v>2028</v>
      </c>
      <c r="J74" s="229">
        <f t="shared" ref="J74" si="109">I74+1</f>
        <v>2029</v>
      </c>
      <c r="K74" s="229">
        <f t="shared" ref="K74" si="110">J74+1</f>
        <v>2030</v>
      </c>
      <c r="L74" s="229">
        <f t="shared" ref="L74" si="111">K74+1</f>
        <v>2031</v>
      </c>
      <c r="M74" s="229">
        <f t="shared" ref="M74" si="112">L74+1</f>
        <v>2032</v>
      </c>
      <c r="N74" s="229">
        <f t="shared" ref="N74" si="113">M74+1</f>
        <v>2033</v>
      </c>
      <c r="O74" s="230">
        <f t="shared" ref="O74" si="114">N74+1</f>
        <v>2034</v>
      </c>
      <c r="S74" s="54"/>
    </row>
    <row r="75" spans="2:21" ht="18" customHeight="1" x14ac:dyDescent="0.3">
      <c r="B75" s="231"/>
      <c r="O75" s="232"/>
      <c r="S75" s="54"/>
    </row>
    <row r="76" spans="2:21" ht="18" customHeight="1" x14ac:dyDescent="0.3">
      <c r="B76" s="231" t="s">
        <v>188</v>
      </c>
      <c r="C76" s="46">
        <v>461.8</v>
      </c>
      <c r="D76" s="46">
        <f>C79</f>
        <v>464.8</v>
      </c>
      <c r="E76" s="46">
        <f t="shared" ref="E76" si="115">D79</f>
        <v>480.6</v>
      </c>
      <c r="F76" s="46">
        <f>E79</f>
        <v>498.6</v>
      </c>
      <c r="G76" s="46">
        <f>F79</f>
        <v>500.6</v>
      </c>
      <c r="H76" s="46">
        <f t="shared" ref="H76" si="116">G79</f>
        <v>242.60000000000002</v>
      </c>
      <c r="I76" s="46">
        <f t="shared" ref="I76" si="117">H79</f>
        <v>256.18903</v>
      </c>
      <c r="J76" s="46">
        <f t="shared" ref="J76" si="118">I79</f>
        <v>271.00107270000001</v>
      </c>
      <c r="K76" s="46">
        <f t="shared" ref="K76" si="119">J79</f>
        <v>286.99807881599997</v>
      </c>
      <c r="L76" s="46">
        <f t="shared" ref="L76" si="120">K79</f>
        <v>304.11487536011998</v>
      </c>
      <c r="M76" s="46">
        <f t="shared" ref="M76" si="121">L79</f>
        <v>322.34426367960771</v>
      </c>
      <c r="N76" s="46">
        <f t="shared" ref="N76" si="122">M79</f>
        <v>341.75856223986221</v>
      </c>
      <c r="O76" s="233">
        <f t="shared" ref="O76" si="123">N79</f>
        <v>362.43479020653325</v>
      </c>
      <c r="S76" s="54"/>
    </row>
    <row r="77" spans="2:21" ht="18" customHeight="1" x14ac:dyDescent="0.3">
      <c r="B77" s="231" t="s">
        <v>135</v>
      </c>
      <c r="C77" s="46">
        <v>3</v>
      </c>
      <c r="D77" s="46">
        <v>19</v>
      </c>
      <c r="E77" s="46">
        <v>18</v>
      </c>
      <c r="F77" s="46">
        <v>2</v>
      </c>
      <c r="G77" s="46">
        <v>11</v>
      </c>
      <c r="H77" s="33">
        <f>H42-H63</f>
        <v>13.589030000000008</v>
      </c>
      <c r="I77" s="33">
        <f>I42-I63</f>
        <v>14.812042699999978</v>
      </c>
      <c r="J77" s="33">
        <f>J42-J63</f>
        <v>15.997006115999994</v>
      </c>
      <c r="K77" s="33">
        <f>K42-K63</f>
        <v>17.116796544120007</v>
      </c>
      <c r="L77" s="33">
        <f t="shared" ref="L77:O77" si="124">L42-L63</f>
        <v>18.229388319487754</v>
      </c>
      <c r="M77" s="33">
        <f t="shared" si="124"/>
        <v>19.414298560254508</v>
      </c>
      <c r="N77" s="33">
        <f t="shared" si="124"/>
        <v>20.676227966671036</v>
      </c>
      <c r="O77" s="234">
        <f t="shared" si="124"/>
        <v>22.020182784504641</v>
      </c>
      <c r="Q77" s="33"/>
      <c r="R77" s="33"/>
      <c r="S77" s="33"/>
      <c r="T77" s="33"/>
      <c r="U77" s="33"/>
    </row>
    <row r="78" spans="2:21" ht="18" customHeight="1" x14ac:dyDescent="0.3">
      <c r="B78" s="231" t="s">
        <v>154</v>
      </c>
      <c r="C78" s="46"/>
      <c r="D78" s="46">
        <v>-3.2</v>
      </c>
      <c r="E78" s="46"/>
      <c r="F78" s="46"/>
      <c r="G78" s="32">
        <v>-269</v>
      </c>
      <c r="O78" s="232"/>
      <c r="S78" s="54"/>
    </row>
    <row r="79" spans="2:21" ht="18" customHeight="1" x14ac:dyDescent="0.3">
      <c r="B79" s="235" t="s">
        <v>150</v>
      </c>
      <c r="C79" s="208">
        <f>SUM(C76:C78)</f>
        <v>464.8</v>
      </c>
      <c r="D79" s="208">
        <f t="shared" ref="D79:K79" si="125">SUM(D76:D78)</f>
        <v>480.6</v>
      </c>
      <c r="E79" s="208">
        <f t="shared" si="125"/>
        <v>498.6</v>
      </c>
      <c r="F79" s="208">
        <f t="shared" si="125"/>
        <v>500.6</v>
      </c>
      <c r="G79" s="208">
        <f>SUM(G76:G78)</f>
        <v>242.60000000000002</v>
      </c>
      <c r="H79" s="208">
        <f>SUM(H76:H78)</f>
        <v>256.18903</v>
      </c>
      <c r="I79" s="208">
        <f t="shared" si="125"/>
        <v>271.00107270000001</v>
      </c>
      <c r="J79" s="208">
        <f t="shared" si="125"/>
        <v>286.99807881599997</v>
      </c>
      <c r="K79" s="208">
        <f t="shared" si="125"/>
        <v>304.11487536011998</v>
      </c>
      <c r="L79" s="208">
        <f t="shared" ref="L79:O79" si="126">SUM(L76:L78)</f>
        <v>322.34426367960771</v>
      </c>
      <c r="M79" s="208">
        <f t="shared" si="126"/>
        <v>341.75856223986221</v>
      </c>
      <c r="N79" s="208">
        <f t="shared" si="126"/>
        <v>362.43479020653325</v>
      </c>
      <c r="O79" s="236">
        <f t="shared" si="126"/>
        <v>384.45497299103789</v>
      </c>
      <c r="S79" s="54"/>
    </row>
    <row r="80" spans="2:21" ht="18" customHeight="1" x14ac:dyDescent="0.3">
      <c r="B80" s="235" t="s">
        <v>190</v>
      </c>
      <c r="C80" s="84">
        <v>-106.8</v>
      </c>
      <c r="D80" s="84">
        <v>-124</v>
      </c>
      <c r="E80" s="84">
        <v>-150</v>
      </c>
      <c r="F80" s="84">
        <v>-172</v>
      </c>
      <c r="G80" s="84">
        <f>F80-G82</f>
        <v>-151</v>
      </c>
      <c r="H80" s="84">
        <f>G80+H82</f>
        <v>-160.70400000000001</v>
      </c>
      <c r="I80" s="84">
        <f t="shared" ref="I80:O80" si="127">H80+I82</f>
        <v>-170.95156120000001</v>
      </c>
      <c r="J80" s="84">
        <f t="shared" si="127"/>
        <v>-181.791604108</v>
      </c>
      <c r="K80" s="84">
        <f t="shared" si="127"/>
        <v>-193.27152726064</v>
      </c>
      <c r="L80" s="84">
        <f t="shared" si="127"/>
        <v>-205.4361222750448</v>
      </c>
      <c r="M80" s="84">
        <f t="shared" si="127"/>
        <v>-218.32989282222911</v>
      </c>
      <c r="N80" s="84">
        <f t="shared" si="127"/>
        <v>-232.00023531182359</v>
      </c>
      <c r="O80" s="237">
        <f t="shared" si="127"/>
        <v>-246.49762692008491</v>
      </c>
      <c r="S80" s="54"/>
    </row>
    <row r="81" spans="2:19" ht="18" customHeight="1" x14ac:dyDescent="0.3">
      <c r="B81" s="231" t="s">
        <v>27</v>
      </c>
      <c r="C81" s="32">
        <f>SUM(C79:C80)</f>
        <v>358</v>
      </c>
      <c r="D81" s="32">
        <f t="shared" ref="D81:E81" si="128">SUM(D79:D80)</f>
        <v>356.6</v>
      </c>
      <c r="E81" s="32">
        <f t="shared" si="128"/>
        <v>348.6</v>
      </c>
      <c r="F81" s="32">
        <f>SUM(F79:F80)</f>
        <v>328.6</v>
      </c>
      <c r="G81" s="32">
        <v>76</v>
      </c>
      <c r="H81" s="32">
        <f>SUM(H79:H80)</f>
        <v>95.485029999999995</v>
      </c>
      <c r="I81" s="32">
        <f t="shared" ref="I81:K81" si="129">SUM(I79:I80)</f>
        <v>100.04951149999999</v>
      </c>
      <c r="J81" s="32">
        <f t="shared" si="129"/>
        <v>105.20647470799997</v>
      </c>
      <c r="K81" s="32">
        <f t="shared" si="129"/>
        <v>110.84334809947998</v>
      </c>
      <c r="L81" s="32">
        <f t="shared" ref="L81:O81" si="130">SUM(L79:L80)</f>
        <v>116.90814140456291</v>
      </c>
      <c r="M81" s="32">
        <f t="shared" si="130"/>
        <v>123.4286694176331</v>
      </c>
      <c r="N81" s="32">
        <f t="shared" si="130"/>
        <v>130.43455489470966</v>
      </c>
      <c r="O81" s="232">
        <f t="shared" si="130"/>
        <v>137.95734607095298</v>
      </c>
      <c r="S81" s="54"/>
    </row>
    <row r="82" spans="2:19" ht="18" customHeight="1" x14ac:dyDescent="0.3">
      <c r="B82" s="238" t="s">
        <v>191</v>
      </c>
      <c r="C82" s="239">
        <v>-20.6</v>
      </c>
      <c r="D82" s="239">
        <v>-19</v>
      </c>
      <c r="E82" s="239">
        <v>-25</v>
      </c>
      <c r="F82" s="239">
        <v>-22</v>
      </c>
      <c r="G82" s="240">
        <v>-21</v>
      </c>
      <c r="H82" s="241">
        <f>-H76*Assumptions!E14</f>
        <v>-9.7040000000000006</v>
      </c>
      <c r="I82" s="241">
        <f>-I76*Assumptions!F14</f>
        <v>-10.2475612</v>
      </c>
      <c r="J82" s="241">
        <f>-J76*Assumptions!G14</f>
        <v>-10.840042908000001</v>
      </c>
      <c r="K82" s="241">
        <f>-K76*Assumptions!H14</f>
        <v>-11.47992315264</v>
      </c>
      <c r="L82" s="241">
        <f>-L76*Assumptions!I14</f>
        <v>-12.164595014404799</v>
      </c>
      <c r="M82" s="241">
        <f>-M76*Assumptions!J14</f>
        <v>-12.893770547184308</v>
      </c>
      <c r="N82" s="241">
        <f>-N76*Assumptions!K14</f>
        <v>-13.670342489594489</v>
      </c>
      <c r="O82" s="242">
        <f>-O76*Assumptions!L14</f>
        <v>-14.49739160826133</v>
      </c>
      <c r="S82" s="54"/>
    </row>
    <row r="83" spans="2:19" ht="18" customHeight="1" x14ac:dyDescent="0.3">
      <c r="S83" s="54"/>
    </row>
    <row r="84" spans="2:19" ht="18" customHeight="1" x14ac:dyDescent="0.3">
      <c r="S84" s="54"/>
    </row>
    <row r="85" spans="2:19" ht="18" customHeight="1" x14ac:dyDescent="0.4">
      <c r="B85" s="45" t="s">
        <v>197</v>
      </c>
      <c r="D85" s="86"/>
      <c r="E85" s="86"/>
      <c r="F85" s="87"/>
      <c r="G85" s="87"/>
      <c r="H85" s="4"/>
      <c r="I85" s="4"/>
    </row>
    <row r="86" spans="2:19" ht="18" customHeight="1" x14ac:dyDescent="0.3">
      <c r="B86" s="125" t="s">
        <v>17</v>
      </c>
      <c r="C86" s="209">
        <v>2022</v>
      </c>
      <c r="D86" s="209">
        <f>C86+1</f>
        <v>2023</v>
      </c>
      <c r="E86" s="209">
        <f t="shared" ref="E86" si="131">D86+1</f>
        <v>2024</v>
      </c>
      <c r="F86" s="209">
        <f t="shared" ref="F86" si="132">E86+1</f>
        <v>2025</v>
      </c>
      <c r="G86" s="209">
        <f t="shared" ref="G86" si="133">F86+1</f>
        <v>2026</v>
      </c>
      <c r="H86" s="210">
        <f t="shared" ref="H86" si="134">G86+1</f>
        <v>2027</v>
      </c>
      <c r="I86" s="210">
        <f t="shared" ref="I86" si="135">H86+1</f>
        <v>2028</v>
      </c>
      <c r="J86" s="210">
        <f t="shared" ref="J86" si="136">I86+1</f>
        <v>2029</v>
      </c>
      <c r="K86" s="210">
        <f t="shared" ref="K86" si="137">J86+1</f>
        <v>2030</v>
      </c>
      <c r="L86" s="210">
        <f t="shared" ref="L86" si="138">K86+1</f>
        <v>2031</v>
      </c>
      <c r="M86" s="210">
        <f t="shared" ref="M86" si="139">L86+1</f>
        <v>2032</v>
      </c>
      <c r="N86" s="210">
        <f t="shared" ref="N86" si="140">M86+1</f>
        <v>2033</v>
      </c>
      <c r="O86" s="211">
        <f t="shared" ref="O86" si="141">N86+1</f>
        <v>2034</v>
      </c>
      <c r="Q86" s="47" t="s">
        <v>165</v>
      </c>
      <c r="R86" s="55">
        <v>16</v>
      </c>
    </row>
    <row r="87" spans="2:19" ht="18" customHeight="1" x14ac:dyDescent="0.3">
      <c r="B87" s="66"/>
      <c r="C87" s="57"/>
      <c r="D87" s="57"/>
      <c r="E87" s="57"/>
      <c r="F87" s="57"/>
      <c r="G87" s="57"/>
      <c r="H87" s="58"/>
      <c r="I87" s="58"/>
      <c r="J87" s="58"/>
      <c r="K87" s="58"/>
      <c r="L87" s="58"/>
      <c r="M87" s="58"/>
      <c r="N87" s="58"/>
      <c r="O87" s="67"/>
    </row>
    <row r="88" spans="2:19" ht="18" customHeight="1" x14ac:dyDescent="0.3">
      <c r="B88" s="68" t="s">
        <v>148</v>
      </c>
      <c r="C88" s="53"/>
      <c r="H88" s="33">
        <f>H62</f>
        <v>2109</v>
      </c>
      <c r="I88" s="33">
        <f t="shared" ref="I88:O88" si="142">I62</f>
        <v>2299.2464199999999</v>
      </c>
      <c r="J88" s="33">
        <f t="shared" si="142"/>
        <v>2506.6150177999998</v>
      </c>
      <c r="K88" s="33">
        <f t="shared" si="142"/>
        <v>2730.5731034239998</v>
      </c>
      <c r="L88" s="33">
        <f t="shared" si="142"/>
        <v>2970.2082550416799</v>
      </c>
      <c r="M88" s="33">
        <f t="shared" si="142"/>
        <v>3225.4196915145089</v>
      </c>
      <c r="N88" s="33">
        <f t="shared" si="142"/>
        <v>3497.2198713580719</v>
      </c>
      <c r="O88" s="70">
        <f t="shared" si="142"/>
        <v>3786.6870628914667</v>
      </c>
    </row>
    <row r="89" spans="2:19" ht="18" customHeight="1" x14ac:dyDescent="0.3">
      <c r="B89" s="68" t="s">
        <v>137</v>
      </c>
      <c r="C89" s="218"/>
      <c r="H89" s="33">
        <f>H63</f>
        <v>190.24642</v>
      </c>
      <c r="I89" s="33">
        <f>I63</f>
        <v>207.36859780000003</v>
      </c>
      <c r="J89" s="33">
        <f>J63</f>
        <v>223.95808562400003</v>
      </c>
      <c r="K89" s="33">
        <f>K63</f>
        <v>239.63515161768004</v>
      </c>
      <c r="L89" s="33">
        <f t="shared" ref="L89:O89" si="143">L63</f>
        <v>255.21143647282926</v>
      </c>
      <c r="M89" s="33">
        <f t="shared" si="143"/>
        <v>271.80017984356311</v>
      </c>
      <c r="N89" s="33">
        <f t="shared" si="143"/>
        <v>289.46719153339467</v>
      </c>
      <c r="O89" s="70">
        <f t="shared" si="143"/>
        <v>308.28255898306531</v>
      </c>
    </row>
    <row r="90" spans="2:19" ht="18" customHeight="1" x14ac:dyDescent="0.3">
      <c r="B90" s="68" t="s">
        <v>24</v>
      </c>
      <c r="H90" s="91">
        <f>-H88/R86</f>
        <v>-131.8125</v>
      </c>
      <c r="I90" s="33">
        <f>H90</f>
        <v>-131.8125</v>
      </c>
      <c r="J90" s="33">
        <f t="shared" ref="J90:K90" si="144">I90</f>
        <v>-131.8125</v>
      </c>
      <c r="K90" s="33">
        <f t="shared" si="144"/>
        <v>-131.8125</v>
      </c>
      <c r="L90" s="33">
        <f t="shared" ref="L90:L93" si="145">K90</f>
        <v>-131.8125</v>
      </c>
      <c r="M90" s="33">
        <f t="shared" ref="M90:M94" si="146">L90</f>
        <v>-131.8125</v>
      </c>
      <c r="N90" s="33">
        <f t="shared" ref="N90:N95" si="147">M90</f>
        <v>-131.8125</v>
      </c>
      <c r="O90" s="70">
        <f t="shared" ref="O90:O96" si="148">N90</f>
        <v>-131.8125</v>
      </c>
    </row>
    <row r="91" spans="2:19" ht="18" customHeight="1" x14ac:dyDescent="0.3">
      <c r="B91" s="68" t="s">
        <v>159</v>
      </c>
      <c r="H91" s="91">
        <f>-H$89/$R$86</f>
        <v>-11.89040125</v>
      </c>
      <c r="I91" s="33">
        <f>H91</f>
        <v>-11.89040125</v>
      </c>
      <c r="J91" s="33">
        <f t="shared" ref="J91:K92" si="149">I91</f>
        <v>-11.89040125</v>
      </c>
      <c r="K91" s="33">
        <f t="shared" si="149"/>
        <v>-11.89040125</v>
      </c>
      <c r="L91" s="33">
        <f t="shared" si="145"/>
        <v>-11.89040125</v>
      </c>
      <c r="M91" s="33">
        <f t="shared" si="146"/>
        <v>-11.89040125</v>
      </c>
      <c r="N91" s="33">
        <f t="shared" si="147"/>
        <v>-11.89040125</v>
      </c>
      <c r="O91" s="70">
        <f t="shared" si="148"/>
        <v>-11.89040125</v>
      </c>
    </row>
    <row r="92" spans="2:19" ht="18" customHeight="1" x14ac:dyDescent="0.3">
      <c r="B92" s="68" t="s">
        <v>160</v>
      </c>
      <c r="H92" s="33"/>
      <c r="I92" s="91">
        <f>-I$89/$R$86</f>
        <v>-12.960537362500002</v>
      </c>
      <c r="J92" s="33">
        <f>I92</f>
        <v>-12.960537362500002</v>
      </c>
      <c r="K92" s="33">
        <f t="shared" si="149"/>
        <v>-12.960537362500002</v>
      </c>
      <c r="L92" s="33">
        <f t="shared" si="145"/>
        <v>-12.960537362500002</v>
      </c>
      <c r="M92" s="33">
        <f t="shared" si="146"/>
        <v>-12.960537362500002</v>
      </c>
      <c r="N92" s="33">
        <f t="shared" si="147"/>
        <v>-12.960537362500002</v>
      </c>
      <c r="O92" s="70">
        <f t="shared" si="148"/>
        <v>-12.960537362500002</v>
      </c>
    </row>
    <row r="93" spans="2:19" ht="18" customHeight="1" x14ac:dyDescent="0.3">
      <c r="B93" s="68" t="s">
        <v>161</v>
      </c>
      <c r="H93" s="33"/>
      <c r="I93" s="33"/>
      <c r="J93" s="91">
        <f>-J$89/$R$86</f>
        <v>-13.997380351500002</v>
      </c>
      <c r="K93" s="33">
        <f>J93</f>
        <v>-13.997380351500002</v>
      </c>
      <c r="L93" s="33">
        <f t="shared" si="145"/>
        <v>-13.997380351500002</v>
      </c>
      <c r="M93" s="33">
        <f t="shared" si="146"/>
        <v>-13.997380351500002</v>
      </c>
      <c r="N93" s="33">
        <f t="shared" si="147"/>
        <v>-13.997380351500002</v>
      </c>
      <c r="O93" s="70">
        <f t="shared" si="148"/>
        <v>-13.997380351500002</v>
      </c>
    </row>
    <row r="94" spans="2:19" ht="18" customHeight="1" x14ac:dyDescent="0.3">
      <c r="B94" s="68" t="s">
        <v>162</v>
      </c>
      <c r="H94" s="33"/>
      <c r="I94" s="33"/>
      <c r="J94" s="33"/>
      <c r="K94" s="91">
        <f>-K$89/$R$86</f>
        <v>-14.977196976105002</v>
      </c>
      <c r="L94" s="33">
        <f>K94</f>
        <v>-14.977196976105002</v>
      </c>
      <c r="M94" s="33">
        <f t="shared" si="146"/>
        <v>-14.977196976105002</v>
      </c>
      <c r="N94" s="33">
        <f t="shared" si="147"/>
        <v>-14.977196976105002</v>
      </c>
      <c r="O94" s="70">
        <f t="shared" si="148"/>
        <v>-14.977196976105002</v>
      </c>
    </row>
    <row r="95" spans="2:19" ht="18" customHeight="1" x14ac:dyDescent="0.3">
      <c r="B95" s="68" t="s">
        <v>319</v>
      </c>
      <c r="H95" s="33"/>
      <c r="I95" s="33"/>
      <c r="J95" s="33"/>
      <c r="K95" s="33"/>
      <c r="L95" s="91">
        <f>-L$89/$R$86</f>
        <v>-15.950714779551829</v>
      </c>
      <c r="M95" s="33">
        <f>L95</f>
        <v>-15.950714779551829</v>
      </c>
      <c r="N95" s="33">
        <f t="shared" si="147"/>
        <v>-15.950714779551829</v>
      </c>
      <c r="O95" s="70">
        <f t="shared" si="148"/>
        <v>-15.950714779551829</v>
      </c>
    </row>
    <row r="96" spans="2:19" ht="18" customHeight="1" x14ac:dyDescent="0.3">
      <c r="B96" s="68" t="s">
        <v>320</v>
      </c>
      <c r="H96" s="33"/>
      <c r="I96" s="33"/>
      <c r="J96" s="33"/>
      <c r="K96" s="33"/>
      <c r="L96" s="33"/>
      <c r="M96" s="91">
        <f>-M$89/$R$86</f>
        <v>-16.987511240222695</v>
      </c>
      <c r="N96" s="33">
        <f>M96</f>
        <v>-16.987511240222695</v>
      </c>
      <c r="O96" s="70">
        <f t="shared" si="148"/>
        <v>-16.987511240222695</v>
      </c>
    </row>
    <row r="97" spans="2:25" ht="18" customHeight="1" x14ac:dyDescent="0.3">
      <c r="B97" s="68" t="s">
        <v>321</v>
      </c>
      <c r="H97" s="33"/>
      <c r="I97" s="33"/>
      <c r="J97" s="33"/>
      <c r="K97" s="33"/>
      <c r="L97" s="33"/>
      <c r="M97" s="33"/>
      <c r="N97" s="91">
        <f>-N$89/$R$86</f>
        <v>-18.091699470837167</v>
      </c>
      <c r="O97" s="70">
        <f>N97</f>
        <v>-18.091699470837167</v>
      </c>
    </row>
    <row r="98" spans="2:25" ht="18" customHeight="1" x14ac:dyDescent="0.3">
      <c r="B98" s="68" t="s">
        <v>322</v>
      </c>
      <c r="H98" s="33"/>
      <c r="I98" s="33"/>
      <c r="J98" s="33"/>
      <c r="K98" s="33"/>
      <c r="L98" s="33"/>
      <c r="M98" s="33"/>
      <c r="N98" s="33"/>
      <c r="O98" s="189">
        <f>-O$89/$R$86</f>
        <v>-19.267659936441582</v>
      </c>
    </row>
    <row r="99" spans="2:25" ht="18" customHeight="1" x14ac:dyDescent="0.3">
      <c r="B99" s="78" t="s">
        <v>24</v>
      </c>
      <c r="C99" s="73"/>
      <c r="D99" s="73"/>
      <c r="E99" s="73"/>
      <c r="F99" s="73"/>
      <c r="G99" s="73"/>
      <c r="H99" s="88">
        <f>SUM(H90:H98)</f>
        <v>-143.70290125</v>
      </c>
      <c r="I99" s="88">
        <f>SUM(I90:I98)</f>
        <v>-156.66343861249999</v>
      </c>
      <c r="J99" s="88">
        <f t="shared" ref="J99:O99" si="150">SUM(J90:J98)</f>
        <v>-170.66081896399999</v>
      </c>
      <c r="K99" s="88">
        <f t="shared" si="150"/>
        <v>-185.63801594010499</v>
      </c>
      <c r="L99" s="88">
        <f t="shared" si="150"/>
        <v>-201.58873071965681</v>
      </c>
      <c r="M99" s="88">
        <f t="shared" si="150"/>
        <v>-218.5762419598795</v>
      </c>
      <c r="N99" s="88">
        <f t="shared" si="150"/>
        <v>-236.66794143071667</v>
      </c>
      <c r="O99" s="89">
        <f t="shared" si="150"/>
        <v>-255.93560136715826</v>
      </c>
      <c r="Q99" s="32"/>
      <c r="R99" s="32"/>
      <c r="S99" s="32"/>
      <c r="T99" s="32"/>
    </row>
    <row r="100" spans="2:25" ht="18" customHeight="1" x14ac:dyDescent="0.3">
      <c r="B100" s="1"/>
      <c r="H100" s="30"/>
      <c r="I100" s="30"/>
      <c r="J100" s="30"/>
      <c r="K100" s="30"/>
      <c r="L100" s="30"/>
      <c r="M100" s="30"/>
      <c r="N100" s="30"/>
      <c r="O100" s="30"/>
    </row>
    <row r="101" spans="2:25" ht="18" customHeight="1" x14ac:dyDescent="0.3">
      <c r="C101" s="57"/>
      <c r="D101" s="57"/>
      <c r="E101" s="57"/>
      <c r="F101" s="57"/>
      <c r="G101" s="57"/>
      <c r="H101" s="58"/>
      <c r="I101" s="58"/>
      <c r="J101" s="58"/>
      <c r="K101" s="58"/>
      <c r="L101" s="58"/>
      <c r="M101" s="58"/>
      <c r="N101" s="58"/>
      <c r="O101" s="58"/>
    </row>
    <row r="102" spans="2:25" ht="18" customHeight="1" x14ac:dyDescent="0.4">
      <c r="B102" s="45"/>
      <c r="D102" s="86"/>
      <c r="E102" s="86"/>
      <c r="F102" s="87"/>
      <c r="G102" s="87"/>
      <c r="H102" s="4"/>
      <c r="I102" s="4"/>
    </row>
    <row r="103" spans="2:25" ht="18" customHeight="1" x14ac:dyDescent="0.3">
      <c r="B103" s="1"/>
      <c r="C103" s="57"/>
      <c r="D103" s="57"/>
      <c r="E103" s="57"/>
      <c r="F103" s="57"/>
      <c r="G103" s="57"/>
      <c r="H103" s="58"/>
      <c r="I103" s="58"/>
      <c r="J103" s="58"/>
      <c r="K103" s="58"/>
      <c r="L103" s="58"/>
      <c r="M103" s="58"/>
      <c r="N103" s="58"/>
      <c r="O103" s="58"/>
    </row>
    <row r="104" spans="2:25" ht="18" customHeight="1" x14ac:dyDescent="0.3">
      <c r="B104" s="1"/>
      <c r="U104" s="106"/>
      <c r="V104" s="44"/>
      <c r="W104" s="44"/>
      <c r="X104" s="44"/>
      <c r="Y104" s="196"/>
    </row>
    <row r="105" spans="2:25" ht="18" customHeight="1" x14ac:dyDescent="0.3">
      <c r="H105" s="33"/>
      <c r="I105" s="33"/>
      <c r="J105" s="33"/>
      <c r="K105" s="33"/>
      <c r="L105" s="33"/>
      <c r="M105" s="33"/>
      <c r="N105" s="33"/>
      <c r="O105" s="33"/>
      <c r="R105" s="197"/>
      <c r="U105" s="32"/>
      <c r="V105" s="44"/>
      <c r="W105" s="44"/>
      <c r="X105" s="44"/>
      <c r="Y105" s="196"/>
    </row>
    <row r="106" spans="2:25" ht="18" customHeight="1" x14ac:dyDescent="0.3">
      <c r="H106" s="33"/>
      <c r="I106" s="33"/>
      <c r="J106" s="33"/>
      <c r="K106" s="33"/>
      <c r="L106" s="33"/>
      <c r="M106" s="33"/>
      <c r="N106" s="33"/>
      <c r="O106" s="33"/>
      <c r="U106" s="32"/>
      <c r="V106" s="32"/>
      <c r="W106" s="32"/>
      <c r="X106" s="32"/>
      <c r="Y106" s="32"/>
    </row>
    <row r="107" spans="2:25" ht="18" customHeight="1" x14ac:dyDescent="0.3">
      <c r="I107" s="33"/>
      <c r="J107" s="33"/>
      <c r="K107" s="33"/>
      <c r="L107" s="33"/>
      <c r="M107" s="33"/>
      <c r="N107" s="33"/>
      <c r="O107" s="33"/>
    </row>
    <row r="108" spans="2:25" ht="18" customHeight="1" x14ac:dyDescent="0.3">
      <c r="I108" s="33"/>
      <c r="J108" s="33"/>
      <c r="K108" s="33"/>
      <c r="L108" s="33"/>
      <c r="M108" s="33"/>
      <c r="N108" s="33"/>
      <c r="O108" s="33"/>
    </row>
    <row r="109" spans="2:25" ht="18" customHeight="1" x14ac:dyDescent="0.3">
      <c r="J109" s="33"/>
      <c r="K109" s="33"/>
      <c r="L109" s="33"/>
      <c r="M109" s="33"/>
      <c r="N109" s="33"/>
      <c r="O109" s="33"/>
    </row>
    <row r="110" spans="2:25" ht="18" customHeight="1" x14ac:dyDescent="0.3">
      <c r="K110" s="33"/>
      <c r="L110" s="33"/>
      <c r="M110" s="33"/>
      <c r="N110" s="33"/>
      <c r="O110" s="33"/>
    </row>
    <row r="111" spans="2:25" ht="18" customHeight="1" x14ac:dyDescent="0.3">
      <c r="L111" s="33"/>
      <c r="M111" s="33"/>
      <c r="N111" s="33"/>
      <c r="O111" s="33"/>
    </row>
    <row r="112" spans="2:25" ht="18" customHeight="1" x14ac:dyDescent="0.3">
      <c r="M112" s="33"/>
      <c r="N112" s="33"/>
      <c r="O112" s="33"/>
    </row>
    <row r="113" spans="2:15" ht="18" customHeight="1" x14ac:dyDescent="0.3">
      <c r="N113" s="33"/>
      <c r="O113" s="33"/>
    </row>
    <row r="114" spans="2:15" ht="18" customHeight="1" x14ac:dyDescent="0.3">
      <c r="O114" s="33"/>
    </row>
    <row r="116" spans="2:15" ht="18" customHeight="1" x14ac:dyDescent="0.3">
      <c r="B116" s="1"/>
      <c r="H116" s="30"/>
      <c r="I116" s="30"/>
      <c r="J116" s="30"/>
      <c r="K116" s="30"/>
      <c r="L116" s="30"/>
      <c r="M116" s="30"/>
      <c r="N116" s="30"/>
      <c r="O116" s="30"/>
    </row>
    <row r="117" spans="2:15" ht="18" customHeight="1" x14ac:dyDescent="0.3">
      <c r="B117" s="1"/>
      <c r="H117" s="30"/>
      <c r="I117" s="30"/>
      <c r="J117" s="30"/>
      <c r="K117" s="30"/>
      <c r="L117" s="30"/>
      <c r="M117" s="30"/>
      <c r="N117" s="30"/>
      <c r="O117" s="30"/>
    </row>
    <row r="121" spans="2:15" ht="18" customHeight="1" x14ac:dyDescent="0.3">
      <c r="D121" s="86"/>
      <c r="E121" s="86"/>
      <c r="F121" s="87"/>
      <c r="G121" s="87"/>
      <c r="H121" s="4"/>
      <c r="I121" s="4"/>
    </row>
    <row r="122" spans="2:15" ht="18" customHeight="1" x14ac:dyDescent="0.3">
      <c r="C122" s="57"/>
      <c r="D122" s="57"/>
      <c r="E122" s="57"/>
      <c r="F122" s="57"/>
      <c r="G122" s="57"/>
      <c r="H122" s="58"/>
      <c r="I122" s="58"/>
      <c r="J122" s="58"/>
      <c r="K122" s="58"/>
      <c r="L122" s="58"/>
      <c r="M122" s="58"/>
      <c r="N122" s="58"/>
      <c r="O122" s="58"/>
    </row>
  </sheetData>
  <mergeCells count="1">
    <mergeCell ref="W47:X47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30DC-E961-4AD1-99FF-B0FACC69F89A}">
  <dimension ref="A2:O1282"/>
  <sheetViews>
    <sheetView showGridLines="0" topLeftCell="A16" zoomScale="72" workbookViewId="0">
      <selection activeCell="K6" sqref="K6"/>
    </sheetView>
  </sheetViews>
  <sheetFormatPr defaultRowHeight="14.4" x14ac:dyDescent="0.3"/>
  <cols>
    <col min="1" max="1" width="2.77734375" customWidth="1"/>
    <col min="2" max="3" width="20.77734375" customWidth="1"/>
    <col min="4" max="4" width="5.77734375" customWidth="1"/>
    <col min="5" max="9" width="20.77734375" customWidth="1"/>
    <col min="11" max="12" width="20.77734375" customWidth="1"/>
    <col min="13" max="13" width="22" bestFit="1" customWidth="1"/>
    <col min="14" max="16" width="20.77734375" customWidth="1"/>
  </cols>
  <sheetData>
    <row r="2" spans="1:15" ht="21" x14ac:dyDescent="0.4">
      <c r="B2" s="45" t="s">
        <v>269</v>
      </c>
      <c r="E2" s="99" t="s">
        <v>274</v>
      </c>
      <c r="F2" s="100"/>
      <c r="G2" s="100"/>
      <c r="H2" s="100"/>
      <c r="I2" s="114" t="s">
        <v>266</v>
      </c>
      <c r="K2" s="99" t="s">
        <v>368</v>
      </c>
      <c r="L2" s="100"/>
      <c r="M2" s="100"/>
      <c r="N2" s="100"/>
      <c r="O2" s="114" t="s">
        <v>266</v>
      </c>
    </row>
    <row r="3" spans="1:15" x14ac:dyDescent="0.3">
      <c r="E3" s="101"/>
      <c r="I3" s="115">
        <f>SLOPE(G5:G273,I5:I273)</f>
        <v>0.88092810258858312</v>
      </c>
      <c r="K3" s="101"/>
      <c r="O3" s="115">
        <f>SLOPE(M5:M65,O5:O65)</f>
        <v>0.88515324129992434</v>
      </c>
    </row>
    <row r="4" spans="1:15" x14ac:dyDescent="0.3">
      <c r="B4" s="116" t="s">
        <v>275</v>
      </c>
      <c r="C4" s="117" t="s">
        <v>276</v>
      </c>
      <c r="D4" s="98"/>
      <c r="E4" s="102" t="s">
        <v>270</v>
      </c>
      <c r="F4" s="103" t="s">
        <v>272</v>
      </c>
      <c r="G4" s="103" t="s">
        <v>273</v>
      </c>
      <c r="H4" s="103" t="s">
        <v>271</v>
      </c>
      <c r="I4" s="104" t="s">
        <v>273</v>
      </c>
      <c r="K4" s="102" t="s">
        <v>270</v>
      </c>
      <c r="L4" s="103" t="s">
        <v>272</v>
      </c>
      <c r="M4" s="103" t="s">
        <v>273</v>
      </c>
      <c r="N4" s="103" t="s">
        <v>271</v>
      </c>
      <c r="O4" s="104" t="s">
        <v>273</v>
      </c>
    </row>
    <row r="5" spans="1:15" s="32" customFormat="1" x14ac:dyDescent="0.3">
      <c r="A5"/>
      <c r="B5" s="105"/>
      <c r="C5" s="118"/>
      <c r="E5" s="105">
        <v>46173</v>
      </c>
      <c r="F5" s="32">
        <v>1246.7</v>
      </c>
      <c r="G5" s="106">
        <f>LN(F5/F6)</f>
        <v>-1.8516840101707645E-2</v>
      </c>
      <c r="H5" s="107">
        <v>48302.45</v>
      </c>
      <c r="I5" s="108">
        <f>LN(H5/H6)</f>
        <v>-2.2131038837431741E-2</v>
      </c>
      <c r="K5" s="105">
        <v>46143</v>
      </c>
      <c r="L5" s="32">
        <v>1270</v>
      </c>
      <c r="M5" s="106">
        <f>LN(L5/L6)</f>
        <v>-4.2848286659716128E-2</v>
      </c>
      <c r="N5" s="107">
        <v>49383.35</v>
      </c>
      <c r="O5" s="108">
        <f>LN(N5/N6)</f>
        <v>-3.3625036998287901E-2</v>
      </c>
    </row>
    <row r="6" spans="1:15" s="32" customFormat="1" x14ac:dyDescent="0.3">
      <c r="A6"/>
      <c r="B6" s="105" t="s">
        <v>277</v>
      </c>
      <c r="C6" s="118">
        <f>O3</f>
        <v>0.88515324129992434</v>
      </c>
      <c r="E6" s="105">
        <v>46166</v>
      </c>
      <c r="F6" s="32">
        <v>1270</v>
      </c>
      <c r="G6" s="106">
        <f t="shared" ref="G6:G69" si="0">LN(F6/F7)</f>
        <v>-9.4824581060179419E-3</v>
      </c>
      <c r="H6" s="107">
        <v>49383.35</v>
      </c>
      <c r="I6" s="108">
        <f t="shared" ref="I6:I69" si="1">LN(H6/H7)</f>
        <v>-1.7393243984573165E-2</v>
      </c>
      <c r="K6" s="105">
        <v>46113</v>
      </c>
      <c r="L6" s="32">
        <v>1325.6</v>
      </c>
      <c r="M6" s="106">
        <f t="shared" ref="M6:M65" si="2">LN(L6/L7)</f>
        <v>8.399841900079924E-2</v>
      </c>
      <c r="N6" s="107">
        <v>51072.1</v>
      </c>
      <c r="O6" s="108">
        <f t="shared" ref="O6:O65" si="3">LN(N6/N7)</f>
        <v>0.11467694391805779</v>
      </c>
    </row>
    <row r="7" spans="1:15" s="32" customFormat="1" x14ac:dyDescent="0.3">
      <c r="A7"/>
      <c r="B7" s="109" t="s">
        <v>275</v>
      </c>
      <c r="C7" s="119">
        <f>0.67*C6+0.33</f>
        <v>0.92305267167094929</v>
      </c>
      <c r="E7" s="105">
        <v>46159</v>
      </c>
      <c r="F7" s="32">
        <v>1282.0999999999999</v>
      </c>
      <c r="G7" s="106">
        <f t="shared" si="0"/>
        <v>-2.9662540491103832E-2</v>
      </c>
      <c r="H7" s="107">
        <v>50249.8</v>
      </c>
      <c r="I7" s="108">
        <f t="shared" si="1"/>
        <v>-1.5825422091354568E-2</v>
      </c>
      <c r="K7" s="105">
        <v>46082</v>
      </c>
      <c r="L7" s="32">
        <v>1218.8</v>
      </c>
      <c r="M7" s="106">
        <f t="shared" si="2"/>
        <v>-0.12479627321760951</v>
      </c>
      <c r="N7" s="107">
        <v>45538.65</v>
      </c>
      <c r="O7" s="108">
        <f t="shared" si="3"/>
        <v>-0.11604857217340572</v>
      </c>
    </row>
    <row r="8" spans="1:15" s="32" customFormat="1" x14ac:dyDescent="0.3">
      <c r="A8"/>
      <c r="B8" s="97"/>
      <c r="E8" s="105">
        <v>46152</v>
      </c>
      <c r="F8" s="32">
        <v>1320.7</v>
      </c>
      <c r="G8" s="106">
        <f t="shared" si="0"/>
        <v>3.0677016367253705E-2</v>
      </c>
      <c r="H8" s="107">
        <v>51051.35</v>
      </c>
      <c r="I8" s="108">
        <f t="shared" si="1"/>
        <v>-2.2413056104135794E-3</v>
      </c>
      <c r="K8" s="105">
        <v>46054</v>
      </c>
      <c r="L8" s="32">
        <v>1380.8</v>
      </c>
      <c r="M8" s="106">
        <f t="shared" si="2"/>
        <v>1.3268401989595677E-2</v>
      </c>
      <c r="N8" s="107">
        <v>51142.2</v>
      </c>
      <c r="O8" s="108">
        <f t="shared" si="3"/>
        <v>-1.4263748859743583E-3</v>
      </c>
    </row>
    <row r="9" spans="1:15" s="32" customFormat="1" x14ac:dyDescent="0.3">
      <c r="A9"/>
      <c r="B9" s="97"/>
      <c r="E9" s="105">
        <v>46145</v>
      </c>
      <c r="F9" s="32">
        <v>1280.8</v>
      </c>
      <c r="G9" s="106">
        <f t="shared" si="0"/>
        <v>-3.4380304429848151E-2</v>
      </c>
      <c r="H9" s="107">
        <v>51165.9</v>
      </c>
      <c r="I9" s="108">
        <f t="shared" si="1"/>
        <v>1.8349346880533652E-3</v>
      </c>
      <c r="K9" s="105">
        <v>46023</v>
      </c>
      <c r="L9" s="32">
        <v>1362.6</v>
      </c>
      <c r="M9" s="106">
        <f t="shared" si="2"/>
        <v>-5.7814623296201205E-2</v>
      </c>
      <c r="N9" s="107">
        <v>51215.199999999997</v>
      </c>
      <c r="O9" s="108">
        <f t="shared" si="3"/>
        <v>-7.9907822752850285E-2</v>
      </c>
    </row>
    <row r="10" spans="1:15" s="32" customFormat="1" x14ac:dyDescent="0.3">
      <c r="A10"/>
      <c r="B10" s="97"/>
      <c r="E10" s="105">
        <v>46138</v>
      </c>
      <c r="F10" s="32">
        <v>1325.6</v>
      </c>
      <c r="G10" s="106">
        <f t="shared" si="0"/>
        <v>-4.8804533121001782E-2</v>
      </c>
      <c r="H10" s="107">
        <v>51072.1</v>
      </c>
      <c r="I10" s="108">
        <f t="shared" si="1"/>
        <v>6.0065961313784397E-3</v>
      </c>
      <c r="K10" s="105">
        <v>45992</v>
      </c>
      <c r="L10" s="32">
        <v>1443.7</v>
      </c>
      <c r="M10" s="106">
        <f t="shared" si="2"/>
        <v>-5.4571337031462811E-3</v>
      </c>
      <c r="N10" s="107">
        <v>55475.65</v>
      </c>
      <c r="O10" s="108">
        <f t="shared" si="3"/>
        <v>-2.1634730952853625E-3</v>
      </c>
    </row>
    <row r="11" spans="1:15" s="32" customFormat="1" x14ac:dyDescent="0.3">
      <c r="A11"/>
      <c r="B11" s="97"/>
      <c r="E11" s="105">
        <v>46131</v>
      </c>
      <c r="F11" s="32">
        <v>1391.9</v>
      </c>
      <c r="G11" s="106">
        <f t="shared" si="0"/>
        <v>6.6077171024468973E-2</v>
      </c>
      <c r="H11" s="107">
        <v>50766.25</v>
      </c>
      <c r="I11" s="108">
        <f t="shared" si="1"/>
        <v>2.2077292755566896E-2</v>
      </c>
      <c r="K11" s="105">
        <v>45962</v>
      </c>
      <c r="L11" s="32">
        <v>1451.6</v>
      </c>
      <c r="M11" s="106">
        <f t="shared" si="2"/>
        <v>1.4013410034418037E-2</v>
      </c>
      <c r="N11" s="107">
        <v>55595.8</v>
      </c>
      <c r="O11" s="108">
        <f t="shared" si="3"/>
        <v>-1.0960332179857001E-2</v>
      </c>
    </row>
    <row r="12" spans="1:15" s="32" customFormat="1" x14ac:dyDescent="0.3">
      <c r="A12"/>
      <c r="B12" s="97"/>
      <c r="E12" s="105">
        <v>46124</v>
      </c>
      <c r="F12" s="32">
        <v>1302.9000000000001</v>
      </c>
      <c r="G12" s="106">
        <f t="shared" si="0"/>
        <v>2.6993976942954634E-2</v>
      </c>
      <c r="H12" s="107">
        <v>49657.75</v>
      </c>
      <c r="I12" s="108">
        <f t="shared" si="1"/>
        <v>2.9918901505214871E-2</v>
      </c>
      <c r="K12" s="105">
        <v>45931</v>
      </c>
      <c r="L12" s="32">
        <v>1431.4</v>
      </c>
      <c r="M12" s="106">
        <f t="shared" si="2"/>
        <v>7.776896837157854E-2</v>
      </c>
      <c r="N12" s="107">
        <v>56208.5</v>
      </c>
      <c r="O12" s="108">
        <f t="shared" si="3"/>
        <v>2.7008688285028771E-2</v>
      </c>
    </row>
    <row r="13" spans="1:15" s="32" customFormat="1" x14ac:dyDescent="0.3">
      <c r="A13"/>
      <c r="B13" s="97"/>
      <c r="E13" s="105">
        <v>46117</v>
      </c>
      <c r="F13" s="32">
        <v>1268.2</v>
      </c>
      <c r="G13" s="106">
        <f t="shared" si="0"/>
        <v>3.7764590405208444E-2</v>
      </c>
      <c r="H13" s="107">
        <v>48194.05</v>
      </c>
      <c r="I13" s="108">
        <f t="shared" si="1"/>
        <v>4.1560125937133277E-2</v>
      </c>
      <c r="K13" s="105">
        <v>45901</v>
      </c>
      <c r="L13" s="32">
        <v>1324.3</v>
      </c>
      <c r="M13" s="106">
        <f t="shared" si="2"/>
        <v>1.0093813169218686E-2</v>
      </c>
      <c r="N13" s="107">
        <v>54710.7</v>
      </c>
      <c r="O13" s="108">
        <f t="shared" si="3"/>
        <v>-2.5822220991982985E-2</v>
      </c>
    </row>
    <row r="14" spans="1:15" s="32" customFormat="1" x14ac:dyDescent="0.3">
      <c r="A14"/>
      <c r="B14" s="97"/>
      <c r="E14" s="105">
        <v>46110</v>
      </c>
      <c r="F14" s="32">
        <v>1221.2</v>
      </c>
      <c r="G14" s="106">
        <f t="shared" si="0"/>
        <v>-2.6344957979145236E-2</v>
      </c>
      <c r="H14" s="107">
        <v>46232.15</v>
      </c>
      <c r="I14" s="108">
        <f t="shared" si="1"/>
        <v>-4.2100508604333408E-3</v>
      </c>
      <c r="K14" s="105">
        <v>45870</v>
      </c>
      <c r="L14" s="32">
        <v>1311</v>
      </c>
      <c r="M14" s="106">
        <f t="shared" si="2"/>
        <v>-2.2028651775370573E-2</v>
      </c>
      <c r="N14" s="107">
        <v>56141.85</v>
      </c>
      <c r="O14" s="108">
        <f t="shared" si="3"/>
        <v>5.889936101331171E-3</v>
      </c>
    </row>
    <row r="15" spans="1:15" s="32" customFormat="1" x14ac:dyDescent="0.3">
      <c r="A15"/>
      <c r="B15" s="97"/>
      <c r="E15" s="105">
        <v>46103</v>
      </c>
      <c r="F15" s="32">
        <v>1253.8</v>
      </c>
      <c r="G15" s="106">
        <f t="shared" si="0"/>
        <v>-3.6262244728254893E-2</v>
      </c>
      <c r="H15" s="107">
        <v>46427.199999999997</v>
      </c>
      <c r="I15" s="108">
        <f t="shared" si="1"/>
        <v>-1.2422732730364525E-2</v>
      </c>
      <c r="K15" s="105">
        <v>45839</v>
      </c>
      <c r="L15" s="32">
        <v>1340.2</v>
      </c>
      <c r="M15" s="106">
        <f t="shared" si="2"/>
        <v>-6.3526032919817052E-2</v>
      </c>
      <c r="N15" s="107">
        <v>55812.15</v>
      </c>
      <c r="O15" s="108">
        <f t="shared" si="3"/>
        <v>1.6771542587779468E-2</v>
      </c>
    </row>
    <row r="16" spans="1:15" s="32" customFormat="1" x14ac:dyDescent="0.3">
      <c r="A16"/>
      <c r="B16" s="97"/>
      <c r="E16" s="105">
        <v>46096</v>
      </c>
      <c r="F16" s="32">
        <v>1300.0999999999999</v>
      </c>
      <c r="G16" s="106">
        <f t="shared" si="0"/>
        <v>-1.0939103154935445E-2</v>
      </c>
      <c r="H16" s="107">
        <v>47007.55</v>
      </c>
      <c r="I16" s="108">
        <f t="shared" si="1"/>
        <v>-1.9311325621536438E-2</v>
      </c>
      <c r="K16" s="105">
        <v>45809</v>
      </c>
      <c r="L16" s="32">
        <v>1428.1</v>
      </c>
      <c r="M16" s="106">
        <f t="shared" si="2"/>
        <v>-6.2431232691086309E-2</v>
      </c>
      <c r="N16" s="107">
        <v>54883.9</v>
      </c>
      <c r="O16" s="108">
        <f t="shared" si="3"/>
        <v>-7.2454021293694324E-3</v>
      </c>
    </row>
    <row r="17" spans="1:15" s="32" customFormat="1" x14ac:dyDescent="0.3">
      <c r="A17"/>
      <c r="B17" s="97"/>
      <c r="E17" s="105">
        <v>46089</v>
      </c>
      <c r="F17" s="32">
        <v>1314.4</v>
      </c>
      <c r="G17" s="106">
        <f t="shared" si="0"/>
        <v>-5.5779564157168518E-2</v>
      </c>
      <c r="H17" s="107">
        <v>47924.15</v>
      </c>
      <c r="I17" s="108">
        <f t="shared" si="1"/>
        <v>-4.1815279759832652E-2</v>
      </c>
      <c r="K17" s="105">
        <v>45778</v>
      </c>
      <c r="L17" s="32">
        <v>1520.1</v>
      </c>
      <c r="M17" s="106">
        <f t="shared" si="2"/>
        <v>-2.8406579292196244E-2</v>
      </c>
      <c r="N17" s="107">
        <v>55283</v>
      </c>
      <c r="O17" s="108">
        <f t="shared" si="3"/>
        <v>-2.0807466258651999E-2</v>
      </c>
    </row>
    <row r="18" spans="1:15" s="32" customFormat="1" x14ac:dyDescent="0.3">
      <c r="A18"/>
      <c r="B18" s="97"/>
      <c r="E18" s="105">
        <v>46082</v>
      </c>
      <c r="F18" s="32">
        <v>1389.8</v>
      </c>
      <c r="G18" s="106">
        <f t="shared" si="0"/>
        <v>6.4968105510633959E-3</v>
      </c>
      <c r="H18" s="107">
        <v>49970.6</v>
      </c>
      <c r="I18" s="108">
        <f t="shared" si="1"/>
        <v>-2.3175155612474303E-2</v>
      </c>
      <c r="K18" s="105">
        <v>45748</v>
      </c>
      <c r="L18" s="32">
        <v>1563.9</v>
      </c>
      <c r="M18" s="106">
        <f t="shared" si="2"/>
        <v>0.10978232426599789</v>
      </c>
      <c r="N18" s="107">
        <v>56445.35</v>
      </c>
      <c r="O18" s="108">
        <f t="shared" si="3"/>
        <v>5.1914161960421354E-2</v>
      </c>
    </row>
    <row r="19" spans="1:15" s="32" customFormat="1" x14ac:dyDescent="0.3">
      <c r="A19"/>
      <c r="B19" s="97"/>
      <c r="E19" s="105">
        <v>46075</v>
      </c>
      <c r="F19" s="32">
        <v>1380.8</v>
      </c>
      <c r="G19" s="106">
        <f t="shared" si="0"/>
        <v>1.0869172476892298E-3</v>
      </c>
      <c r="H19" s="107">
        <v>51142.2</v>
      </c>
      <c r="I19" s="108">
        <f t="shared" si="1"/>
        <v>-1.2252995210027611E-2</v>
      </c>
      <c r="K19" s="105">
        <v>45717</v>
      </c>
      <c r="L19" s="32">
        <v>1401.3</v>
      </c>
      <c r="M19" s="106">
        <f t="shared" si="2"/>
        <v>8.7069766035861126E-2</v>
      </c>
      <c r="N19" s="107">
        <v>53589.8</v>
      </c>
      <c r="O19" s="108">
        <f t="shared" si="3"/>
        <v>5.5649826927525993E-2</v>
      </c>
    </row>
    <row r="20" spans="1:15" s="32" customFormat="1" x14ac:dyDescent="0.3">
      <c r="A20"/>
      <c r="B20" s="97"/>
      <c r="E20" s="105">
        <v>46068</v>
      </c>
      <c r="F20" s="32">
        <v>1379.3</v>
      </c>
      <c r="G20" s="106">
        <f t="shared" si="0"/>
        <v>-1.6608930525550607E-2</v>
      </c>
      <c r="H20" s="107">
        <v>51772.7</v>
      </c>
      <c r="I20" s="108">
        <f t="shared" si="1"/>
        <v>1.6957820960787233E-2</v>
      </c>
      <c r="K20" s="105">
        <v>45689</v>
      </c>
      <c r="L20" s="32">
        <v>1284.45</v>
      </c>
      <c r="M20" s="106">
        <f t="shared" si="2"/>
        <v>-0.10313920183161031</v>
      </c>
      <c r="N20" s="107">
        <v>50689</v>
      </c>
      <c r="O20" s="108">
        <f t="shared" si="3"/>
        <v>-0.11192330081290702</v>
      </c>
    </row>
    <row r="21" spans="1:15" s="32" customFormat="1" x14ac:dyDescent="0.3">
      <c r="A21"/>
      <c r="B21" s="97"/>
      <c r="E21" s="105">
        <v>46061</v>
      </c>
      <c r="F21" s="32">
        <v>1402.4</v>
      </c>
      <c r="G21" s="106">
        <f t="shared" si="0"/>
        <v>1.8277834878369856E-2</v>
      </c>
      <c r="H21" s="107">
        <v>50902.15</v>
      </c>
      <c r="I21" s="108">
        <f t="shared" si="1"/>
        <v>-1.9081202632450299E-2</v>
      </c>
      <c r="K21" s="105">
        <v>45658</v>
      </c>
      <c r="L21" s="32">
        <v>1424</v>
      </c>
      <c r="M21" s="106">
        <f t="shared" si="2"/>
        <v>-0.13231488753272191</v>
      </c>
      <c r="N21" s="107">
        <v>56691.95</v>
      </c>
      <c r="O21" s="108">
        <f t="shared" si="3"/>
        <v>-1.8979383906735383E-3</v>
      </c>
    </row>
    <row r="22" spans="1:15" s="32" customFormat="1" x14ac:dyDescent="0.3">
      <c r="A22"/>
      <c r="B22" s="97"/>
      <c r="E22" s="105">
        <v>46054</v>
      </c>
      <c r="F22" s="32">
        <v>1377</v>
      </c>
      <c r="G22" s="106">
        <f t="shared" si="0"/>
        <v>1.0512580389087207E-2</v>
      </c>
      <c r="H22" s="107">
        <v>51882.75</v>
      </c>
      <c r="I22" s="108">
        <f t="shared" si="1"/>
        <v>1.2950001995716231E-2</v>
      </c>
      <c r="K22" s="105">
        <v>45627</v>
      </c>
      <c r="L22" s="32">
        <v>1625.45</v>
      </c>
      <c r="M22" s="106">
        <f t="shared" si="2"/>
        <v>6.11053734905374E-2</v>
      </c>
      <c r="N22" s="107">
        <v>56799.65</v>
      </c>
      <c r="O22" s="108">
        <f t="shared" si="3"/>
        <v>-1.9941685730658024E-2</v>
      </c>
    </row>
    <row r="23" spans="1:15" s="32" customFormat="1" x14ac:dyDescent="0.3">
      <c r="A23"/>
      <c r="B23" s="97"/>
      <c r="E23" s="105">
        <v>46047</v>
      </c>
      <c r="F23" s="32">
        <v>1362.6</v>
      </c>
      <c r="G23" s="106">
        <f t="shared" si="0"/>
        <v>2.1962598160859121E-2</v>
      </c>
      <c r="H23" s="107">
        <v>51215.199999999997</v>
      </c>
      <c r="I23" s="108">
        <f t="shared" si="1"/>
        <v>-8.6871064332468845E-3</v>
      </c>
      <c r="K23" s="105">
        <v>45597</v>
      </c>
      <c r="L23" s="32">
        <v>1529.1</v>
      </c>
      <c r="M23" s="106">
        <f t="shared" si="2"/>
        <v>5.3736652962227356E-2</v>
      </c>
      <c r="N23" s="107">
        <v>57943.7</v>
      </c>
      <c r="O23" s="108">
        <f t="shared" si="3"/>
        <v>-2.1500366814719327E-2</v>
      </c>
    </row>
    <row r="24" spans="1:15" s="32" customFormat="1" x14ac:dyDescent="0.3">
      <c r="A24"/>
      <c r="B24" s="97"/>
      <c r="E24" s="105">
        <v>46040</v>
      </c>
      <c r="F24" s="32">
        <v>1333</v>
      </c>
      <c r="G24" s="106">
        <f t="shared" si="0"/>
        <v>-1.170912434410333E-2</v>
      </c>
      <c r="H24" s="107">
        <v>51662.05</v>
      </c>
      <c r="I24" s="108">
        <f t="shared" si="1"/>
        <v>-9.256885768607153E-3</v>
      </c>
      <c r="K24" s="105">
        <v>45566</v>
      </c>
      <c r="L24" s="32">
        <v>1449.1</v>
      </c>
      <c r="M24" s="106">
        <f t="shared" si="2"/>
        <v>-9.2728447102785036E-2</v>
      </c>
      <c r="N24" s="107">
        <v>59203</v>
      </c>
      <c r="O24" s="108">
        <f t="shared" si="3"/>
        <v>-0.10169376722497141</v>
      </c>
    </row>
    <row r="25" spans="1:15" s="32" customFormat="1" x14ac:dyDescent="0.3">
      <c r="A25"/>
      <c r="B25" s="97"/>
      <c r="E25" s="105">
        <v>46033</v>
      </c>
      <c r="F25" s="32">
        <v>1348.7</v>
      </c>
      <c r="G25" s="106">
        <f t="shared" si="0"/>
        <v>1.321062612770036E-2</v>
      </c>
      <c r="H25" s="107">
        <v>52142.5</v>
      </c>
      <c r="I25" s="108">
        <f t="shared" si="1"/>
        <v>-5.6540246711233406E-3</v>
      </c>
      <c r="K25" s="105">
        <v>45536</v>
      </c>
      <c r="L25" s="32">
        <v>1589.9</v>
      </c>
      <c r="M25" s="106">
        <f t="shared" si="2"/>
        <v>7.5453906473915422E-2</v>
      </c>
      <c r="N25" s="107">
        <v>65540.350000000006</v>
      </c>
      <c r="O25" s="108">
        <f t="shared" si="3"/>
        <v>3.8583293875856794E-2</v>
      </c>
    </row>
    <row r="26" spans="1:15" s="32" customFormat="1" x14ac:dyDescent="0.3">
      <c r="A26"/>
      <c r="B26" s="97"/>
      <c r="E26" s="105">
        <v>46026</v>
      </c>
      <c r="F26" s="32">
        <v>1331</v>
      </c>
      <c r="G26" s="106">
        <f t="shared" si="0"/>
        <v>-3.7311708437357149E-2</v>
      </c>
      <c r="H26" s="107">
        <v>52438.15</v>
      </c>
      <c r="I26" s="108">
        <f t="shared" si="1"/>
        <v>-1.2143221963600523E-2</v>
      </c>
      <c r="K26" s="105">
        <v>45505</v>
      </c>
      <c r="L26" s="32">
        <v>1474.35</v>
      </c>
      <c r="M26" s="106">
        <f t="shared" si="2"/>
        <v>4.2289819306642995E-2</v>
      </c>
      <c r="N26" s="107">
        <v>63059.75</v>
      </c>
      <c r="O26" s="108">
        <f t="shared" si="3"/>
        <v>1.5623376239404607E-2</v>
      </c>
    </row>
    <row r="27" spans="1:15" s="32" customFormat="1" x14ac:dyDescent="0.3">
      <c r="A27"/>
      <c r="B27" s="97"/>
      <c r="E27" s="105">
        <v>46019</v>
      </c>
      <c r="F27" s="32">
        <v>1381.6</v>
      </c>
      <c r="G27" s="106">
        <f t="shared" si="0"/>
        <v>-3.3312688887824612E-2</v>
      </c>
      <c r="H27" s="107">
        <v>53078.8</v>
      </c>
      <c r="I27" s="108">
        <f t="shared" si="1"/>
        <v>-3.7953614922719002E-2</v>
      </c>
      <c r="K27" s="105">
        <v>45474</v>
      </c>
      <c r="L27" s="32">
        <v>1413.3</v>
      </c>
      <c r="M27" s="106">
        <f t="shared" si="2"/>
        <v>0.10180543769256652</v>
      </c>
      <c r="N27" s="107">
        <v>62082.2</v>
      </c>
      <c r="O27" s="108">
        <f t="shared" si="3"/>
        <v>8.9682959468293619E-2</v>
      </c>
    </row>
    <row r="28" spans="1:15" s="32" customFormat="1" x14ac:dyDescent="0.3">
      <c r="A28"/>
      <c r="B28" s="97"/>
      <c r="E28" s="105">
        <v>46012</v>
      </c>
      <c r="F28" s="32">
        <v>1428.4</v>
      </c>
      <c r="G28" s="106">
        <f t="shared" si="0"/>
        <v>1.530840095664303E-2</v>
      </c>
      <c r="H28" s="107">
        <v>55132.05</v>
      </c>
      <c r="I28" s="108">
        <f t="shared" si="1"/>
        <v>6.3814091841548322E-3</v>
      </c>
      <c r="K28" s="105">
        <v>45444</v>
      </c>
      <c r="L28" s="32">
        <v>1276.5</v>
      </c>
      <c r="M28" s="106">
        <f t="shared" si="2"/>
        <v>9.6219327775905875E-2</v>
      </c>
      <c r="N28" s="107">
        <v>56756.85</v>
      </c>
      <c r="O28" s="108">
        <f t="shared" si="3"/>
        <v>4.7806317779307682E-2</v>
      </c>
    </row>
    <row r="29" spans="1:15" s="32" customFormat="1" x14ac:dyDescent="0.3">
      <c r="A29"/>
      <c r="B29" s="97"/>
      <c r="E29" s="105">
        <v>46005</v>
      </c>
      <c r="F29" s="32">
        <v>1406.7</v>
      </c>
      <c r="G29" s="106">
        <f t="shared" si="0"/>
        <v>-2.8315017980296602E-2</v>
      </c>
      <c r="H29" s="107">
        <v>54781.35</v>
      </c>
      <c r="I29" s="108">
        <f t="shared" si="1"/>
        <v>5.3179274817548193E-3</v>
      </c>
      <c r="K29" s="105">
        <v>45413</v>
      </c>
      <c r="L29" s="32">
        <v>1159.4000000000001</v>
      </c>
      <c r="M29" s="106">
        <f t="shared" si="2"/>
        <v>-1.5066198354644178E-2</v>
      </c>
      <c r="N29" s="107">
        <v>54107.35</v>
      </c>
      <c r="O29" s="108">
        <f t="shared" si="3"/>
        <v>-2.4596693740842964E-3</v>
      </c>
    </row>
    <row r="30" spans="1:15" s="32" customFormat="1" x14ac:dyDescent="0.3">
      <c r="A30"/>
      <c r="B30" s="97"/>
      <c r="E30" s="105">
        <v>45998</v>
      </c>
      <c r="F30" s="32">
        <v>1447.1</v>
      </c>
      <c r="G30" s="106">
        <f t="shared" si="0"/>
        <v>-5.8566329940578019E-3</v>
      </c>
      <c r="H30" s="107">
        <v>54490.8</v>
      </c>
      <c r="I30" s="108">
        <f t="shared" si="1"/>
        <v>-1.2982702304840872E-2</v>
      </c>
      <c r="K30" s="105">
        <v>45383</v>
      </c>
      <c r="L30" s="32">
        <v>1177</v>
      </c>
      <c r="M30" s="106">
        <f t="shared" si="2"/>
        <v>3.6997188716203479E-2</v>
      </c>
      <c r="N30" s="107">
        <v>54240.6</v>
      </c>
      <c r="O30" s="108">
        <f t="shared" si="3"/>
        <v>5.3868424686092219E-3</v>
      </c>
    </row>
    <row r="31" spans="1:15" s="32" customFormat="1" x14ac:dyDescent="0.3">
      <c r="A31"/>
      <c r="B31" s="97"/>
      <c r="E31" s="105">
        <v>45991</v>
      </c>
      <c r="F31" s="32">
        <v>1455.6</v>
      </c>
      <c r="G31" s="106">
        <f t="shared" si="0"/>
        <v>2.7517903990894629E-3</v>
      </c>
      <c r="H31" s="107">
        <v>55202.85</v>
      </c>
      <c r="I31" s="108">
        <f t="shared" si="1"/>
        <v>-7.0930764499073989E-3</v>
      </c>
      <c r="K31" s="105">
        <v>45352</v>
      </c>
      <c r="L31" s="32">
        <v>1134.25</v>
      </c>
      <c r="M31" s="106">
        <f t="shared" si="2"/>
        <v>-2.747879515092861E-2</v>
      </c>
      <c r="N31" s="107">
        <v>53949.2</v>
      </c>
      <c r="O31" s="108">
        <f t="shared" si="3"/>
        <v>-1.2300306835523887E-3</v>
      </c>
    </row>
    <row r="32" spans="1:15" s="32" customFormat="1" x14ac:dyDescent="0.3">
      <c r="A32"/>
      <c r="B32" s="97"/>
      <c r="E32" s="105">
        <v>45984</v>
      </c>
      <c r="F32" s="32">
        <v>1451.6</v>
      </c>
      <c r="G32" s="106">
        <f t="shared" si="0"/>
        <v>1.7021983232569766E-2</v>
      </c>
      <c r="H32" s="107">
        <v>55595.8</v>
      </c>
      <c r="I32" s="108">
        <f t="shared" si="1"/>
        <v>1.6399569834066481E-3</v>
      </c>
      <c r="K32" s="105">
        <v>45323</v>
      </c>
      <c r="L32" s="32">
        <v>1165.8499999999999</v>
      </c>
      <c r="M32" s="106">
        <f t="shared" si="2"/>
        <v>7.0580956890570146E-2</v>
      </c>
      <c r="N32" s="107">
        <v>54015.6</v>
      </c>
      <c r="O32" s="108">
        <f t="shared" si="3"/>
        <v>-1.9357631408388795E-2</v>
      </c>
    </row>
    <row r="33" spans="1:15" s="32" customFormat="1" x14ac:dyDescent="0.3">
      <c r="A33"/>
      <c r="B33" s="97"/>
      <c r="E33" s="105">
        <v>45977</v>
      </c>
      <c r="F33" s="32">
        <v>1427.1</v>
      </c>
      <c r="G33" s="106">
        <f t="shared" si="0"/>
        <v>-1.6103626795330788E-3</v>
      </c>
      <c r="H33" s="107">
        <v>55504.7</v>
      </c>
      <c r="I33" s="108">
        <f t="shared" si="1"/>
        <v>-1.0102147790448366E-3</v>
      </c>
      <c r="K33" s="105">
        <v>45292</v>
      </c>
      <c r="L33" s="32">
        <v>1086.4000000000001</v>
      </c>
      <c r="M33" s="106">
        <f t="shared" si="2"/>
        <v>-2.844825830965822E-2</v>
      </c>
      <c r="N33" s="107">
        <v>55071.4</v>
      </c>
      <c r="O33" s="108">
        <f t="shared" si="3"/>
        <v>-3.4196156072162212E-2</v>
      </c>
    </row>
    <row r="34" spans="1:15" s="32" customFormat="1" x14ac:dyDescent="0.3">
      <c r="A34"/>
      <c r="B34" s="97"/>
      <c r="E34" s="105">
        <v>45970</v>
      </c>
      <c r="F34" s="32">
        <v>1429.4</v>
      </c>
      <c r="G34" s="106">
        <f t="shared" si="0"/>
        <v>2.0990029812943797E-4</v>
      </c>
      <c r="H34" s="107">
        <v>55560.800000000003</v>
      </c>
      <c r="I34" s="108">
        <f t="shared" si="1"/>
        <v>2.2270680748531749E-3</v>
      </c>
      <c r="K34" s="105">
        <v>45261</v>
      </c>
      <c r="L34" s="32">
        <v>1117.75</v>
      </c>
      <c r="M34" s="106">
        <f t="shared" si="2"/>
        <v>6.36234102692914E-2</v>
      </c>
      <c r="N34" s="107">
        <v>56987.199999999997</v>
      </c>
      <c r="O34" s="108">
        <f t="shared" si="3"/>
        <v>7.2274424195042875E-2</v>
      </c>
    </row>
    <row r="35" spans="1:15" s="32" customFormat="1" x14ac:dyDescent="0.3">
      <c r="A35"/>
      <c r="B35" s="97"/>
      <c r="E35" s="105">
        <v>45963</v>
      </c>
      <c r="F35" s="32">
        <v>1429.1</v>
      </c>
      <c r="G35" s="106">
        <f t="shared" si="0"/>
        <v>-1.6081108167481856E-3</v>
      </c>
      <c r="H35" s="107">
        <v>55437.2</v>
      </c>
      <c r="I35" s="108">
        <f t="shared" si="1"/>
        <v>-1.3817142459071775E-2</v>
      </c>
      <c r="K35" s="105">
        <v>45231</v>
      </c>
      <c r="L35" s="32">
        <v>1048.8499999999999</v>
      </c>
      <c r="M35" s="106">
        <f t="shared" si="2"/>
        <v>1.600187913017178E-2</v>
      </c>
      <c r="N35" s="107">
        <v>53013.8</v>
      </c>
      <c r="O35" s="108">
        <f t="shared" si="3"/>
        <v>3.3590815558315133E-2</v>
      </c>
    </row>
    <row r="36" spans="1:15" s="32" customFormat="1" x14ac:dyDescent="0.3">
      <c r="A36"/>
      <c r="B36" s="97"/>
      <c r="E36" s="105">
        <v>45956</v>
      </c>
      <c r="F36" s="32">
        <v>1431.4</v>
      </c>
      <c r="G36" s="106">
        <f t="shared" si="0"/>
        <v>5.3081881034839094E-2</v>
      </c>
      <c r="H36" s="107">
        <v>56208.5</v>
      </c>
      <c r="I36" s="108">
        <f t="shared" si="1"/>
        <v>-2.4805310675747611E-3</v>
      </c>
      <c r="K36" s="105">
        <v>45200</v>
      </c>
      <c r="L36" s="32">
        <v>1032.2</v>
      </c>
      <c r="M36" s="106">
        <f t="shared" si="2"/>
        <v>2.4468601643170145E-2</v>
      </c>
      <c r="N36" s="107">
        <v>51262.6</v>
      </c>
      <c r="O36" s="108">
        <f t="shared" si="3"/>
        <v>-6.6115862979638958E-3</v>
      </c>
    </row>
    <row r="37" spans="1:15" s="32" customFormat="1" x14ac:dyDescent="0.3">
      <c r="A37"/>
      <c r="B37" s="97"/>
      <c r="E37" s="105">
        <v>45949</v>
      </c>
      <c r="F37" s="32">
        <v>1357.4</v>
      </c>
      <c r="G37" s="106">
        <f t="shared" si="0"/>
        <v>-2.9424767441930937E-3</v>
      </c>
      <c r="H37" s="107">
        <v>56348.1</v>
      </c>
      <c r="I37" s="108">
        <f t="shared" si="1"/>
        <v>-4.7501738067557021E-3</v>
      </c>
      <c r="K37" s="105">
        <v>45170</v>
      </c>
      <c r="L37" s="32">
        <v>1007.25</v>
      </c>
      <c r="M37" s="106">
        <f t="shared" si="2"/>
        <v>-2.9779630952648102E-4</v>
      </c>
      <c r="N37" s="107">
        <v>51602.65</v>
      </c>
      <c r="O37" s="108">
        <f t="shared" si="3"/>
        <v>9.9323765100737295E-3</v>
      </c>
    </row>
    <row r="38" spans="1:15" s="32" customFormat="1" x14ac:dyDescent="0.3">
      <c r="A38"/>
      <c r="B38" s="97"/>
      <c r="E38" s="105">
        <v>45942</v>
      </c>
      <c r="F38" s="32">
        <v>1361.4</v>
      </c>
      <c r="G38" s="106">
        <f t="shared" si="0"/>
        <v>1.808528391190797E-2</v>
      </c>
      <c r="H38" s="107">
        <v>56616.4</v>
      </c>
      <c r="I38" s="108">
        <f t="shared" si="1"/>
        <v>2.9575696782346048E-2</v>
      </c>
      <c r="K38" s="105">
        <v>45139</v>
      </c>
      <c r="L38" s="32">
        <v>1007.55</v>
      </c>
      <c r="M38" s="106">
        <f t="shared" si="2"/>
        <v>-8.2040590626363697E-3</v>
      </c>
      <c r="N38" s="107">
        <v>51092.65</v>
      </c>
      <c r="O38" s="108">
        <f t="shared" si="3"/>
        <v>-2.9775793553134013E-2</v>
      </c>
    </row>
    <row r="39" spans="1:15" s="32" customFormat="1" x14ac:dyDescent="0.3">
      <c r="A39"/>
      <c r="B39" s="97"/>
      <c r="E39" s="105">
        <v>45935</v>
      </c>
      <c r="F39" s="32">
        <v>1337</v>
      </c>
      <c r="G39" s="106">
        <f t="shared" si="0"/>
        <v>-1.8966341237624584E-2</v>
      </c>
      <c r="H39" s="107">
        <v>54966.45</v>
      </c>
      <c r="I39" s="108">
        <f t="shared" si="1"/>
        <v>-3.7072035942279664E-3</v>
      </c>
      <c r="K39" s="105">
        <v>45108</v>
      </c>
      <c r="L39" s="32">
        <v>1015.85</v>
      </c>
      <c r="M39" s="106">
        <f t="shared" si="2"/>
        <v>0.10762171516601939</v>
      </c>
      <c r="N39" s="107">
        <v>52636.85</v>
      </c>
      <c r="O39" s="108">
        <f t="shared" si="3"/>
        <v>8.4345296830463483E-3</v>
      </c>
    </row>
    <row r="40" spans="1:15" s="32" customFormat="1" x14ac:dyDescent="0.3">
      <c r="A40"/>
      <c r="B40" s="97"/>
      <c r="E40" s="105">
        <v>45928</v>
      </c>
      <c r="F40" s="32">
        <v>1362.6</v>
      </c>
      <c r="G40" s="106">
        <f t="shared" si="0"/>
        <v>4.9032377560612676E-2</v>
      </c>
      <c r="H40" s="107">
        <v>55170.6</v>
      </c>
      <c r="I40" s="108">
        <f t="shared" si="1"/>
        <v>5.8726842517617664E-3</v>
      </c>
      <c r="K40" s="105">
        <v>45078</v>
      </c>
      <c r="L40" s="32">
        <v>912.2</v>
      </c>
      <c r="M40" s="106">
        <f t="shared" si="2"/>
        <v>3.1967972517849115E-2</v>
      </c>
      <c r="N40" s="107">
        <v>52194.75</v>
      </c>
      <c r="O40" s="108">
        <f t="shared" si="3"/>
        <v>2.2318398222532437E-2</v>
      </c>
    </row>
    <row r="41" spans="1:15" s="32" customFormat="1" x14ac:dyDescent="0.3">
      <c r="A41"/>
      <c r="B41" s="97"/>
      <c r="E41" s="105">
        <v>45921</v>
      </c>
      <c r="F41" s="32">
        <v>1297.4000000000001</v>
      </c>
      <c r="G41" s="106">
        <f t="shared" si="0"/>
        <v>-2.3462380327658253E-2</v>
      </c>
      <c r="H41" s="107">
        <v>54847.55</v>
      </c>
      <c r="I41" s="108">
        <f t="shared" si="1"/>
        <v>-2.5658216477080879E-2</v>
      </c>
      <c r="K41" s="105">
        <v>45047</v>
      </c>
      <c r="L41" s="32">
        <v>883.5</v>
      </c>
      <c r="M41" s="106">
        <f t="shared" si="2"/>
        <v>0.12825790983084412</v>
      </c>
      <c r="N41" s="107">
        <v>51042.75</v>
      </c>
      <c r="O41" s="108">
        <f t="shared" si="3"/>
        <v>6.5342941816308217E-2</v>
      </c>
    </row>
    <row r="42" spans="1:15" s="32" customFormat="1" x14ac:dyDescent="0.3">
      <c r="A42"/>
      <c r="B42" s="97"/>
      <c r="E42" s="105">
        <v>45914</v>
      </c>
      <c r="F42" s="32">
        <v>1328.2</v>
      </c>
      <c r="G42" s="106">
        <f t="shared" si="0"/>
        <v>1.4026538771256083E-2</v>
      </c>
      <c r="H42" s="107">
        <v>56273.05</v>
      </c>
      <c r="I42" s="108">
        <f t="shared" si="1"/>
        <v>-5.0358964249594936E-3</v>
      </c>
      <c r="K42" s="105">
        <v>45017</v>
      </c>
      <c r="L42" s="32">
        <v>777.15</v>
      </c>
      <c r="M42" s="106">
        <f t="shared" si="2"/>
        <v>2.7195259066923178E-2</v>
      </c>
      <c r="N42" s="107">
        <v>47814.1</v>
      </c>
      <c r="O42" s="108">
        <f t="shared" si="3"/>
        <v>4.0748709897780407E-2</v>
      </c>
    </row>
    <row r="43" spans="1:15" s="32" customFormat="1" x14ac:dyDescent="0.3">
      <c r="A43"/>
      <c r="B43" s="97"/>
      <c r="E43" s="105">
        <v>45907</v>
      </c>
      <c r="F43" s="32">
        <v>1309.7</v>
      </c>
      <c r="G43" s="106">
        <f t="shared" si="0"/>
        <v>-1.8308037763127304E-3</v>
      </c>
      <c r="H43" s="107">
        <v>56557.15</v>
      </c>
      <c r="I43" s="108">
        <f t="shared" si="1"/>
        <v>4.6974257671784534E-3</v>
      </c>
      <c r="K43" s="105">
        <v>44986</v>
      </c>
      <c r="L43" s="32">
        <v>756.3</v>
      </c>
      <c r="M43" s="106">
        <f t="shared" si="2"/>
        <v>2.0977454382471328E-2</v>
      </c>
      <c r="N43" s="107">
        <v>45904.9</v>
      </c>
      <c r="O43" s="108">
        <f t="shared" si="3"/>
        <v>2.1233585123168294E-2</v>
      </c>
    </row>
    <row r="44" spans="1:15" s="32" customFormat="1" x14ac:dyDescent="0.3">
      <c r="A44"/>
      <c r="B44" s="97"/>
      <c r="E44" s="105">
        <v>45900</v>
      </c>
      <c r="F44" s="32">
        <v>1312.1</v>
      </c>
      <c r="G44" s="106">
        <f t="shared" si="0"/>
        <v>8.3870234797016351E-4</v>
      </c>
      <c r="H44" s="107">
        <v>56292.1</v>
      </c>
      <c r="I44" s="108">
        <f t="shared" si="1"/>
        <v>2.6726818623584304E-3</v>
      </c>
      <c r="K44" s="105">
        <v>44958</v>
      </c>
      <c r="L44" s="32">
        <v>740.6</v>
      </c>
      <c r="M44" s="106">
        <f t="shared" si="2"/>
        <v>-3.7175060879096007E-2</v>
      </c>
      <c r="N44" s="107">
        <v>44940.45</v>
      </c>
      <c r="O44" s="108">
        <f t="shared" si="3"/>
        <v>1.0818099549117824E-2</v>
      </c>
    </row>
    <row r="45" spans="1:15" s="32" customFormat="1" x14ac:dyDescent="0.3">
      <c r="A45"/>
      <c r="B45" s="97"/>
      <c r="E45" s="105">
        <v>45893</v>
      </c>
      <c r="F45" s="32">
        <v>1311</v>
      </c>
      <c r="G45" s="106">
        <f t="shared" si="0"/>
        <v>-1.4313546655417704E-2</v>
      </c>
      <c r="H45" s="107">
        <v>56141.85</v>
      </c>
      <c r="I45" s="108">
        <f t="shared" si="1"/>
        <v>7.229250830674494E-3</v>
      </c>
      <c r="K45" s="105">
        <v>44927</v>
      </c>
      <c r="L45" s="32">
        <v>768.65</v>
      </c>
      <c r="M45" s="106">
        <f t="shared" si="2"/>
        <v>-0.13249820441509075</v>
      </c>
      <c r="N45" s="107">
        <v>44456.9</v>
      </c>
      <c r="O45" s="108">
        <f t="shared" si="3"/>
        <v>6.4415277283331514E-3</v>
      </c>
    </row>
    <row r="46" spans="1:15" s="32" customFormat="1" x14ac:dyDescent="0.3">
      <c r="A46"/>
      <c r="B46" s="97"/>
      <c r="E46" s="105">
        <v>45886</v>
      </c>
      <c r="F46" s="32">
        <v>1329.9</v>
      </c>
      <c r="G46" s="106">
        <f t="shared" si="0"/>
        <v>8.002458529386693E-3</v>
      </c>
      <c r="H46" s="107">
        <v>55737.45</v>
      </c>
      <c r="I46" s="108">
        <f t="shared" si="1"/>
        <v>1.9587785864151983E-2</v>
      </c>
      <c r="K46" s="105">
        <v>44896</v>
      </c>
      <c r="L46" s="32">
        <v>877.55</v>
      </c>
      <c r="M46" s="106">
        <f t="shared" si="2"/>
        <v>-6.0520717528948845E-2</v>
      </c>
      <c r="N46" s="107">
        <v>44171.45</v>
      </c>
      <c r="O46" s="108">
        <f t="shared" si="3"/>
        <v>-3.0436647409352296E-2</v>
      </c>
    </row>
    <row r="47" spans="1:15" s="32" customFormat="1" x14ac:dyDescent="0.3">
      <c r="A47"/>
      <c r="B47" s="97"/>
      <c r="E47" s="105">
        <v>45879</v>
      </c>
      <c r="F47" s="32">
        <v>1319.3</v>
      </c>
      <c r="G47" s="106">
        <f t="shared" si="0"/>
        <v>2.129695935383575E-2</v>
      </c>
      <c r="H47" s="107">
        <v>54656.3</v>
      </c>
      <c r="I47" s="108">
        <f t="shared" si="1"/>
        <v>-4.4661655282854104E-3</v>
      </c>
      <c r="K47" s="105">
        <v>44866</v>
      </c>
      <c r="L47" s="32">
        <v>932.3</v>
      </c>
      <c r="M47" s="106">
        <f t="shared" si="2"/>
        <v>3.9323689601800306E-2</v>
      </c>
      <c r="N47" s="107">
        <v>45536.55</v>
      </c>
      <c r="O47" s="108">
        <f t="shared" si="3"/>
        <v>2.7614148071801257E-2</v>
      </c>
    </row>
    <row r="48" spans="1:15" s="32" customFormat="1" x14ac:dyDescent="0.3">
      <c r="A48"/>
      <c r="B48" s="97"/>
      <c r="E48" s="105">
        <v>45872</v>
      </c>
      <c r="F48" s="32">
        <v>1291.5</v>
      </c>
      <c r="G48" s="106">
        <f t="shared" si="0"/>
        <v>-2.3643933970919268E-2</v>
      </c>
      <c r="H48" s="107">
        <v>54900.95</v>
      </c>
      <c r="I48" s="108">
        <f t="shared" si="1"/>
        <v>-2.3333611863532007E-2</v>
      </c>
      <c r="K48" s="105">
        <v>44835</v>
      </c>
      <c r="L48" s="32">
        <v>896.35</v>
      </c>
      <c r="M48" s="106">
        <f t="shared" si="2"/>
        <v>6.2194716379529613E-2</v>
      </c>
      <c r="N48" s="107">
        <v>44296.3</v>
      </c>
      <c r="O48" s="108">
        <f t="shared" si="3"/>
        <v>-2.46556147626563E-3</v>
      </c>
    </row>
    <row r="49" spans="1:15" s="32" customFormat="1" x14ac:dyDescent="0.3">
      <c r="A49"/>
      <c r="B49" s="97"/>
      <c r="E49" s="105">
        <v>45865</v>
      </c>
      <c r="F49" s="32">
        <v>1322.4</v>
      </c>
      <c r="G49" s="106">
        <f t="shared" si="0"/>
        <v>9.726520449889392E-3</v>
      </c>
      <c r="H49" s="107">
        <v>56197.05</v>
      </c>
      <c r="I49" s="108">
        <f t="shared" si="1"/>
        <v>2.9197665225442326E-2</v>
      </c>
      <c r="K49" s="105">
        <v>44805</v>
      </c>
      <c r="L49" s="32">
        <v>842.3</v>
      </c>
      <c r="M49" s="106">
        <f t="shared" si="2"/>
        <v>3.6820651288194527E-2</v>
      </c>
      <c r="N49" s="107">
        <v>44405.65</v>
      </c>
      <c r="O49" s="108">
        <f t="shared" si="3"/>
        <v>1.3250136047263621E-2</v>
      </c>
    </row>
    <row r="50" spans="1:15" s="32" customFormat="1" x14ac:dyDescent="0.3">
      <c r="A50"/>
      <c r="B50" s="97"/>
      <c r="E50" s="105">
        <v>45858</v>
      </c>
      <c r="F50" s="32">
        <v>1309.5999999999999</v>
      </c>
      <c r="G50" s="106">
        <f t="shared" si="0"/>
        <v>-3.9452700715090001E-2</v>
      </c>
      <c r="H50" s="107">
        <v>54579.95</v>
      </c>
      <c r="I50" s="108">
        <f t="shared" si="1"/>
        <v>-3.4696155396390718E-2</v>
      </c>
      <c r="K50" s="105">
        <v>44774</v>
      </c>
      <c r="L50" s="32">
        <v>811.85</v>
      </c>
      <c r="M50" s="106">
        <f t="shared" si="2"/>
        <v>4.1304548162375249E-2</v>
      </c>
      <c r="N50" s="107">
        <v>43821.15</v>
      </c>
      <c r="O50" s="108">
        <f t="shared" si="3"/>
        <v>3.0909016161243683E-2</v>
      </c>
    </row>
    <row r="51" spans="1:15" s="32" customFormat="1" x14ac:dyDescent="0.3">
      <c r="A51"/>
      <c r="B51" s="97"/>
      <c r="E51" s="105">
        <v>45851</v>
      </c>
      <c r="F51" s="32">
        <v>1362.3</v>
      </c>
      <c r="G51" s="106">
        <f t="shared" si="0"/>
        <v>3.4560128519985312E-3</v>
      </c>
      <c r="H51" s="107">
        <v>56506.9</v>
      </c>
      <c r="I51" s="108">
        <f t="shared" si="1"/>
        <v>1.0615028089119337E-2</v>
      </c>
      <c r="K51" s="105">
        <v>44743</v>
      </c>
      <c r="L51" s="32">
        <v>779</v>
      </c>
      <c r="M51" s="106">
        <f t="shared" si="2"/>
        <v>2.5021614073845802E-2</v>
      </c>
      <c r="N51" s="107">
        <v>42487.4</v>
      </c>
      <c r="O51" s="108">
        <f t="shared" si="3"/>
        <v>0.12048822761105836</v>
      </c>
    </row>
    <row r="52" spans="1:15" s="32" customFormat="1" x14ac:dyDescent="0.3">
      <c r="A52"/>
      <c r="B52" s="97"/>
      <c r="E52" s="105">
        <v>45844</v>
      </c>
      <c r="F52" s="32">
        <v>1357.6</v>
      </c>
      <c r="G52" s="106">
        <f t="shared" si="0"/>
        <v>-1.5059865003091135E-2</v>
      </c>
      <c r="H52" s="107">
        <v>55910.25</v>
      </c>
      <c r="I52" s="108">
        <f t="shared" si="1"/>
        <v>2.123340609675434E-2</v>
      </c>
      <c r="K52" s="105">
        <v>44713</v>
      </c>
      <c r="L52" s="32">
        <v>759.75</v>
      </c>
      <c r="M52" s="106">
        <f t="shared" si="2"/>
        <v>-6.3303800644862671E-2</v>
      </c>
      <c r="N52" s="107">
        <v>37664.550000000003</v>
      </c>
      <c r="O52" s="108">
        <f t="shared" si="3"/>
        <v>-2.7467751100539135E-2</v>
      </c>
    </row>
    <row r="53" spans="1:15" s="32" customFormat="1" x14ac:dyDescent="0.3">
      <c r="A53"/>
      <c r="B53" s="97"/>
      <c r="E53" s="105">
        <v>45837</v>
      </c>
      <c r="F53" s="32">
        <v>1378.2</v>
      </c>
      <c r="G53" s="106">
        <f t="shared" si="0"/>
        <v>-4.5391425559551564E-2</v>
      </c>
      <c r="H53" s="107">
        <v>54735.6</v>
      </c>
      <c r="I53" s="108">
        <f t="shared" si="1"/>
        <v>-6.7987217995731149E-3</v>
      </c>
      <c r="K53" s="105">
        <v>44682</v>
      </c>
      <c r="L53" s="32">
        <v>809.4</v>
      </c>
      <c r="M53" s="106">
        <f t="shared" si="2"/>
        <v>-6.3947631251822803E-2</v>
      </c>
      <c r="N53" s="107">
        <v>38713.449999999997</v>
      </c>
      <c r="O53" s="108">
        <f t="shared" si="3"/>
        <v>1.3242936420299769E-2</v>
      </c>
    </row>
    <row r="54" spans="1:15" s="32" customFormat="1" x14ac:dyDescent="0.3">
      <c r="A54"/>
      <c r="B54" s="97"/>
      <c r="E54" s="105">
        <v>45830</v>
      </c>
      <c r="F54" s="32">
        <v>1442.2</v>
      </c>
      <c r="G54" s="106">
        <f t="shared" si="0"/>
        <v>-1.1513001595190725E-2</v>
      </c>
      <c r="H54" s="107">
        <v>55109</v>
      </c>
      <c r="I54" s="108">
        <f t="shared" si="1"/>
        <v>8.7124702343453955E-3</v>
      </c>
      <c r="K54" s="105">
        <v>44652</v>
      </c>
      <c r="L54" s="32">
        <v>862.85</v>
      </c>
      <c r="M54" s="106">
        <f t="shared" si="2"/>
        <v>-2.9124945788327142E-2</v>
      </c>
      <c r="N54" s="107">
        <v>38204.15</v>
      </c>
      <c r="O54" s="108">
        <f t="shared" si="3"/>
        <v>5.1463929703474805E-2</v>
      </c>
    </row>
    <row r="55" spans="1:15" s="32" customFormat="1" x14ac:dyDescent="0.3">
      <c r="A55"/>
      <c r="B55" s="97"/>
      <c r="E55" s="105">
        <v>45823</v>
      </c>
      <c r="F55" s="32">
        <v>1458.9</v>
      </c>
      <c r="G55" s="106">
        <f t="shared" si="0"/>
        <v>3.9835217511996757E-3</v>
      </c>
      <c r="H55" s="107">
        <v>54630.95</v>
      </c>
      <c r="I55" s="108">
        <f t="shared" si="1"/>
        <v>1.9018292052838579E-3</v>
      </c>
      <c r="K55" s="105">
        <v>44621</v>
      </c>
      <c r="L55" s="32">
        <v>888.35</v>
      </c>
      <c r="M55" s="106">
        <f t="shared" si="2"/>
        <v>3.6086873106275278E-3</v>
      </c>
      <c r="N55" s="107">
        <v>36287.75</v>
      </c>
      <c r="O55" s="108">
        <f t="shared" si="3"/>
        <v>2.1513813518716812E-2</v>
      </c>
    </row>
    <row r="56" spans="1:15" s="32" customFormat="1" x14ac:dyDescent="0.3">
      <c r="A56"/>
      <c r="B56" s="97"/>
      <c r="E56" s="105">
        <v>45816</v>
      </c>
      <c r="F56" s="32">
        <v>1453.1</v>
      </c>
      <c r="G56" s="106">
        <f t="shared" si="0"/>
        <v>-9.2170892619615599E-2</v>
      </c>
      <c r="H56" s="107">
        <v>54527.15</v>
      </c>
      <c r="I56" s="108">
        <f t="shared" si="1"/>
        <v>-2.3123512549666381E-2</v>
      </c>
      <c r="K56" s="105">
        <v>44593</v>
      </c>
      <c r="L56" s="32">
        <v>885.15</v>
      </c>
      <c r="M56" s="106">
        <f t="shared" si="2"/>
        <v>2.1410426484506497E-2</v>
      </c>
      <c r="N56" s="107">
        <v>35515.4</v>
      </c>
      <c r="O56" s="108">
        <f t="shared" si="3"/>
        <v>-2.6448192302491451E-2</v>
      </c>
    </row>
    <row r="57" spans="1:15" s="32" customFormat="1" x14ac:dyDescent="0.3">
      <c r="A57"/>
      <c r="B57" s="97"/>
      <c r="E57" s="105">
        <v>45809</v>
      </c>
      <c r="F57" s="32">
        <v>1593.4</v>
      </c>
      <c r="G57" s="106">
        <f t="shared" si="0"/>
        <v>4.7093975796292022E-2</v>
      </c>
      <c r="H57" s="107">
        <v>55802.7</v>
      </c>
      <c r="I57" s="108">
        <f t="shared" si="1"/>
        <v>9.3568081514170537E-3</v>
      </c>
      <c r="K57" s="105">
        <v>44562</v>
      </c>
      <c r="L57" s="32">
        <v>866.4</v>
      </c>
      <c r="M57" s="106">
        <f t="shared" si="2"/>
        <v>-3.6101730306847338E-2</v>
      </c>
      <c r="N57" s="107">
        <v>36467.25</v>
      </c>
      <c r="O57" s="108">
        <f t="shared" si="3"/>
        <v>-3.0056065953966048E-2</v>
      </c>
    </row>
    <row r="58" spans="1:15" s="32" customFormat="1" x14ac:dyDescent="0.3">
      <c r="A58"/>
      <c r="B58" s="97"/>
      <c r="E58" s="105">
        <v>45802</v>
      </c>
      <c r="F58" s="32">
        <v>1520.1</v>
      </c>
      <c r="G58" s="106">
        <f t="shared" si="0"/>
        <v>-3.7952279877869276E-2</v>
      </c>
      <c r="H58" s="107">
        <v>55283</v>
      </c>
      <c r="I58" s="108">
        <f t="shared" si="1"/>
        <v>-2.181147351801254E-2</v>
      </c>
      <c r="K58" s="105">
        <v>44531</v>
      </c>
      <c r="L58" s="32">
        <v>898.25</v>
      </c>
      <c r="M58" s="106">
        <f t="shared" si="2"/>
        <v>1.7179852134494772E-2</v>
      </c>
      <c r="N58" s="107">
        <v>37579.949999999997</v>
      </c>
      <c r="O58" s="108">
        <f t="shared" si="3"/>
        <v>5.148950440692409E-3</v>
      </c>
    </row>
    <row r="59" spans="1:15" s="32" customFormat="1" x14ac:dyDescent="0.3">
      <c r="A59"/>
      <c r="B59" s="97"/>
      <c r="E59" s="105">
        <v>45795</v>
      </c>
      <c r="F59" s="32">
        <v>1578.9</v>
      </c>
      <c r="G59" s="106">
        <f t="shared" si="0"/>
        <v>2.4751199397431218E-2</v>
      </c>
      <c r="H59" s="107">
        <v>56502.05</v>
      </c>
      <c r="I59" s="108">
        <f t="shared" si="1"/>
        <v>-9.8579703491053546E-3</v>
      </c>
      <c r="K59" s="105">
        <v>44501</v>
      </c>
      <c r="L59" s="32">
        <v>882.95</v>
      </c>
      <c r="M59" s="106">
        <f t="shared" si="2"/>
        <v>-7.0400039219237806E-2</v>
      </c>
      <c r="N59" s="107">
        <v>37386.949999999997</v>
      </c>
      <c r="O59" s="108">
        <f t="shared" si="3"/>
        <v>-2.2092169308850107E-2</v>
      </c>
    </row>
    <row r="60" spans="1:15" s="32" customFormat="1" x14ac:dyDescent="0.3">
      <c r="A60"/>
      <c r="B60" s="97"/>
      <c r="E60" s="105">
        <v>45788</v>
      </c>
      <c r="F60" s="32">
        <v>1540.3</v>
      </c>
      <c r="G60" s="106">
        <f t="shared" si="0"/>
        <v>5.9254609317220567E-3</v>
      </c>
      <c r="H60" s="107">
        <v>57061.8</v>
      </c>
      <c r="I60" s="108">
        <f t="shared" si="1"/>
        <v>2.5358340659136166E-2</v>
      </c>
      <c r="K60" s="105">
        <v>44470</v>
      </c>
      <c r="L60" s="32">
        <v>947.35</v>
      </c>
      <c r="M60" s="106">
        <f t="shared" si="2"/>
        <v>0.10479183916372217</v>
      </c>
      <c r="N60" s="107">
        <v>38222.1</v>
      </c>
      <c r="O60" s="108">
        <f t="shared" si="3"/>
        <v>-5.6072864980234921E-2</v>
      </c>
    </row>
    <row r="61" spans="1:15" s="32" customFormat="1" x14ac:dyDescent="0.3">
      <c r="A61"/>
      <c r="B61" s="97"/>
      <c r="E61" s="105">
        <v>45781</v>
      </c>
      <c r="F61" s="32">
        <v>1531.2</v>
      </c>
      <c r="G61" s="106">
        <f t="shared" si="0"/>
        <v>-1.5809581582902354E-2</v>
      </c>
      <c r="H61" s="107">
        <v>55633</v>
      </c>
      <c r="I61" s="108">
        <f t="shared" si="1"/>
        <v>-1.1069489914564478E-2</v>
      </c>
      <c r="K61" s="105">
        <v>44440</v>
      </c>
      <c r="L61" s="32">
        <v>853.1</v>
      </c>
      <c r="M61" s="106">
        <f t="shared" si="2"/>
        <v>0.17638446301374014</v>
      </c>
      <c r="N61" s="107">
        <v>40426.550000000003</v>
      </c>
      <c r="O61" s="108">
        <f t="shared" si="3"/>
        <v>2.2434459230866715E-2</v>
      </c>
    </row>
    <row r="62" spans="1:15" s="32" customFormat="1" x14ac:dyDescent="0.3">
      <c r="A62"/>
      <c r="B62" s="97"/>
      <c r="E62" s="105">
        <v>45774</v>
      </c>
      <c r="F62" s="32">
        <v>1555.6</v>
      </c>
      <c r="G62" s="106">
        <f t="shared" si="0"/>
        <v>5.2852201662380886E-3</v>
      </c>
      <c r="H62" s="107">
        <v>56252.25</v>
      </c>
      <c r="I62" s="108">
        <f t="shared" si="1"/>
        <v>-4.9670003859424881E-3</v>
      </c>
      <c r="K62" s="105">
        <v>44409</v>
      </c>
      <c r="L62" s="32">
        <v>715.15</v>
      </c>
      <c r="M62" s="106">
        <f t="shared" si="2"/>
        <v>0.1098529456567286</v>
      </c>
      <c r="N62" s="107">
        <v>39529.699999999997</v>
      </c>
      <c r="O62" s="108">
        <f t="shared" si="3"/>
        <v>9.2092721187918766E-2</v>
      </c>
    </row>
    <row r="63" spans="1:15" s="32" customFormat="1" x14ac:dyDescent="0.3">
      <c r="A63"/>
      <c r="B63" s="97"/>
      <c r="E63" s="105">
        <v>45767</v>
      </c>
      <c r="F63" s="32">
        <v>1547.4</v>
      </c>
      <c r="G63" s="106">
        <f t="shared" si="0"/>
        <v>1.9314185145541778E-2</v>
      </c>
      <c r="H63" s="107">
        <v>56532.35</v>
      </c>
      <c r="I63" s="108">
        <f t="shared" si="1"/>
        <v>-2.5060400522340723E-3</v>
      </c>
      <c r="K63" s="105">
        <v>44378</v>
      </c>
      <c r="L63" s="32">
        <v>640.75</v>
      </c>
      <c r="M63" s="106">
        <f t="shared" si="2"/>
        <v>-3.2097349974877891E-2</v>
      </c>
      <c r="N63" s="107">
        <v>36051.9</v>
      </c>
      <c r="O63" s="108">
        <f t="shared" si="3"/>
        <v>-1.1449150257311633E-3</v>
      </c>
    </row>
    <row r="64" spans="1:15" s="32" customFormat="1" x14ac:dyDescent="0.3">
      <c r="A64"/>
      <c r="B64" s="97"/>
      <c r="E64" s="105">
        <v>45760</v>
      </c>
      <c r="F64" s="32">
        <v>1517.8</v>
      </c>
      <c r="G64" s="106">
        <f t="shared" si="0"/>
        <v>2.7316621537547832E-2</v>
      </c>
      <c r="H64" s="107">
        <v>56674.2</v>
      </c>
      <c r="I64" s="108">
        <f t="shared" si="1"/>
        <v>1.6601324382126394E-2</v>
      </c>
      <c r="K64" s="105">
        <v>44348</v>
      </c>
      <c r="L64" s="32">
        <v>661.65</v>
      </c>
      <c r="M64" s="106">
        <f t="shared" si="2"/>
        <v>7.7269408785363911E-2</v>
      </c>
      <c r="N64" s="107">
        <v>36093.199999999997</v>
      </c>
      <c r="O64" s="108">
        <f t="shared" si="3"/>
        <v>2.3834716527892045E-2</v>
      </c>
    </row>
    <row r="65" spans="1:15" s="32" customFormat="1" x14ac:dyDescent="0.3">
      <c r="A65"/>
      <c r="B65" s="97"/>
      <c r="E65" s="105">
        <v>45753</v>
      </c>
      <c r="F65" s="32">
        <v>1476.9</v>
      </c>
      <c r="G65" s="106">
        <f t="shared" si="0"/>
        <v>3.4125718232371059E-2</v>
      </c>
      <c r="H65" s="107">
        <v>55741.1</v>
      </c>
      <c r="I65" s="108">
        <f t="shared" si="1"/>
        <v>3.4873819951114896E-2</v>
      </c>
      <c r="K65" s="105">
        <v>44317</v>
      </c>
      <c r="L65" s="32">
        <v>612.45000000000005</v>
      </c>
      <c r="M65" s="106">
        <f t="shared" si="2"/>
        <v>0.16450425413503897</v>
      </c>
      <c r="N65" s="107">
        <v>35243.1</v>
      </c>
      <c r="O65" s="108">
        <f t="shared" si="3"/>
        <v>4.7046025211691607E-2</v>
      </c>
    </row>
    <row r="66" spans="1:15" s="32" customFormat="1" x14ac:dyDescent="0.3">
      <c r="A66"/>
      <c r="B66" s="97"/>
      <c r="E66" s="105">
        <v>45746</v>
      </c>
      <c r="F66" s="32">
        <v>1427.35</v>
      </c>
      <c r="G66" s="106">
        <f t="shared" si="0"/>
        <v>1.8419201023721604E-2</v>
      </c>
      <c r="H66" s="107">
        <v>53830.7</v>
      </c>
      <c r="I66" s="108">
        <f t="shared" si="1"/>
        <v>4.4851849292509112E-3</v>
      </c>
      <c r="K66" s="105">
        <v>44287</v>
      </c>
      <c r="L66" s="32">
        <v>519.54999999999995</v>
      </c>
      <c r="M66" s="106"/>
      <c r="N66" s="107">
        <v>33623.449999999997</v>
      </c>
      <c r="O66" s="108"/>
    </row>
    <row r="67" spans="1:15" s="32" customFormat="1" x14ac:dyDescent="0.3">
      <c r="A67"/>
      <c r="B67" s="97"/>
      <c r="E67" s="105">
        <v>45739</v>
      </c>
      <c r="F67" s="32">
        <v>1401.3</v>
      </c>
      <c r="G67" s="106">
        <f t="shared" si="0"/>
        <v>6.9462128983851902E-3</v>
      </c>
      <c r="H67" s="107">
        <v>53589.8</v>
      </c>
      <c r="I67" s="108">
        <f t="shared" si="1"/>
        <v>1.1330080100468973E-2</v>
      </c>
    </row>
    <row r="68" spans="1:15" s="32" customFormat="1" x14ac:dyDescent="0.3">
      <c r="A68"/>
      <c r="B68" s="97"/>
      <c r="E68" s="105">
        <v>45732</v>
      </c>
      <c r="F68" s="32">
        <v>1391.6</v>
      </c>
      <c r="G68" s="106">
        <f t="shared" si="0"/>
        <v>2.7612580086046362E-2</v>
      </c>
      <c r="H68" s="107">
        <v>52986.05</v>
      </c>
      <c r="I68" s="108">
        <f t="shared" si="1"/>
        <v>2.1109768453952217E-2</v>
      </c>
    </row>
    <row r="69" spans="1:15" s="32" customFormat="1" x14ac:dyDescent="0.3">
      <c r="A69"/>
      <c r="B69" s="97"/>
      <c r="E69" s="105">
        <v>45725</v>
      </c>
      <c r="F69" s="32">
        <v>1353.7</v>
      </c>
      <c r="G69" s="106">
        <f t="shared" si="0"/>
        <v>1.9280491342126064E-2</v>
      </c>
      <c r="H69" s="107">
        <v>51879.25</v>
      </c>
      <c r="I69" s="108">
        <f t="shared" si="1"/>
        <v>-2.4187863688742163E-4</v>
      </c>
    </row>
    <row r="70" spans="1:15" s="32" customFormat="1" x14ac:dyDescent="0.3">
      <c r="A70"/>
      <c r="B70" s="97"/>
      <c r="E70" s="105">
        <v>45718</v>
      </c>
      <c r="F70" s="32">
        <v>1327.85</v>
      </c>
      <c r="G70" s="106">
        <f t="shared" ref="G70:G133" si="4">LN(F70/F71)</f>
        <v>3.3230481709303705E-2</v>
      </c>
      <c r="H70" s="107">
        <v>51891.8</v>
      </c>
      <c r="I70" s="108">
        <f t="shared" ref="I70:I133" si="5">LN(H70/H71)</f>
        <v>2.3451857009992454E-2</v>
      </c>
    </row>
    <row r="71" spans="1:15" s="32" customFormat="1" x14ac:dyDescent="0.3">
      <c r="A71"/>
      <c r="B71" s="97"/>
      <c r="E71" s="105">
        <v>45711</v>
      </c>
      <c r="F71" s="32">
        <v>1284.45</v>
      </c>
      <c r="G71" s="106">
        <f t="shared" si="4"/>
        <v>-1.7021194820356449E-2</v>
      </c>
      <c r="H71" s="107">
        <v>50689</v>
      </c>
      <c r="I71" s="108">
        <f t="shared" si="5"/>
        <v>-2.7420514958929432E-2</v>
      </c>
    </row>
    <row r="72" spans="1:15" s="32" customFormat="1" x14ac:dyDescent="0.3">
      <c r="A72"/>
      <c r="B72" s="97"/>
      <c r="E72" s="105">
        <v>45704</v>
      </c>
      <c r="F72" s="32">
        <v>1306.5</v>
      </c>
      <c r="G72" s="106">
        <f t="shared" si="4"/>
        <v>-4.3362965583823562E-2</v>
      </c>
      <c r="H72" s="107">
        <v>52098.15</v>
      </c>
      <c r="I72" s="108">
        <f t="shared" si="5"/>
        <v>-1.9773214054499975E-2</v>
      </c>
    </row>
    <row r="73" spans="1:15" s="32" customFormat="1" x14ac:dyDescent="0.3">
      <c r="A73"/>
      <c r="B73" s="97"/>
      <c r="E73" s="105">
        <v>45697</v>
      </c>
      <c r="F73" s="32">
        <v>1364.4</v>
      </c>
      <c r="G73" s="106">
        <f t="shared" si="4"/>
        <v>-4.52098909856746E-2</v>
      </c>
      <c r="H73" s="107">
        <v>53138.55</v>
      </c>
      <c r="I73" s="108">
        <f t="shared" si="5"/>
        <v>-3.6488412795776477E-2</v>
      </c>
    </row>
    <row r="74" spans="1:15" s="32" customFormat="1" x14ac:dyDescent="0.3">
      <c r="A74"/>
      <c r="B74" s="97"/>
      <c r="E74" s="105">
        <v>45690</v>
      </c>
      <c r="F74" s="32">
        <v>1427.5</v>
      </c>
      <c r="G74" s="106">
        <f t="shared" si="4"/>
        <v>2.4548495582442879E-3</v>
      </c>
      <c r="H74" s="107">
        <v>55113.3</v>
      </c>
      <c r="I74" s="108">
        <f t="shared" si="5"/>
        <v>-2.8241159003701138E-2</v>
      </c>
    </row>
    <row r="75" spans="1:15" s="32" customFormat="1" x14ac:dyDescent="0.3">
      <c r="A75"/>
      <c r="B75" s="97"/>
      <c r="E75" s="105">
        <v>45683</v>
      </c>
      <c r="F75" s="32">
        <v>1424</v>
      </c>
      <c r="G75" s="106">
        <f t="shared" si="4"/>
        <v>-3.1622505310443298E-2</v>
      </c>
      <c r="H75" s="107">
        <v>56691.95</v>
      </c>
      <c r="I75" s="108">
        <f t="shared" si="5"/>
        <v>1.1042907929272507E-2</v>
      </c>
    </row>
    <row r="76" spans="1:15" s="32" customFormat="1" x14ac:dyDescent="0.3">
      <c r="A76"/>
      <c r="B76" s="97"/>
      <c r="E76" s="105">
        <v>45676</v>
      </c>
      <c r="F76" s="32">
        <v>1469.75</v>
      </c>
      <c r="G76" s="106">
        <f t="shared" si="4"/>
        <v>2.9132630095902338E-2</v>
      </c>
      <c r="H76" s="107">
        <v>56069.35</v>
      </c>
      <c r="I76" s="108">
        <f t="shared" si="5"/>
        <v>4.8002151701887867E-3</v>
      </c>
    </row>
    <row r="77" spans="1:15" s="32" customFormat="1" x14ac:dyDescent="0.3">
      <c r="A77"/>
      <c r="B77" s="97"/>
      <c r="E77" s="105">
        <v>45669</v>
      </c>
      <c r="F77" s="32">
        <v>1427.55</v>
      </c>
      <c r="G77" s="106">
        <f t="shared" si="4"/>
        <v>-7.5270627789865818E-2</v>
      </c>
      <c r="H77" s="107">
        <v>55800.85</v>
      </c>
      <c r="I77" s="108">
        <f t="shared" si="5"/>
        <v>-2.3324948868029844E-2</v>
      </c>
    </row>
    <row r="78" spans="1:15" s="32" customFormat="1" x14ac:dyDescent="0.3">
      <c r="A78"/>
      <c r="B78" s="97"/>
      <c r="E78" s="105">
        <v>45662</v>
      </c>
      <c r="F78" s="32">
        <v>1539.15</v>
      </c>
      <c r="G78" s="106">
        <f t="shared" si="4"/>
        <v>-8.9020748418955173E-2</v>
      </c>
      <c r="H78" s="107">
        <v>57117.7</v>
      </c>
      <c r="I78" s="108">
        <f t="shared" si="5"/>
        <v>-1.2168798967089615E-2</v>
      </c>
    </row>
    <row r="79" spans="1:15" s="32" customFormat="1" x14ac:dyDescent="0.3">
      <c r="A79"/>
      <c r="B79" s="97"/>
      <c r="E79" s="105">
        <v>45655</v>
      </c>
      <c r="F79" s="32">
        <v>1682.45</v>
      </c>
      <c r="G79" s="106">
        <f t="shared" si="4"/>
        <v>6.320603633180244E-2</v>
      </c>
      <c r="H79" s="107">
        <v>57817</v>
      </c>
      <c r="I79" s="108">
        <f t="shared" si="5"/>
        <v>2.4029424726835259E-2</v>
      </c>
    </row>
    <row r="80" spans="1:15" s="32" customFormat="1" x14ac:dyDescent="0.3">
      <c r="A80"/>
      <c r="B80" s="97"/>
      <c r="E80" s="105">
        <v>45648</v>
      </c>
      <c r="F80" s="32">
        <v>1579.4</v>
      </c>
      <c r="G80" s="106">
        <f t="shared" si="4"/>
        <v>2.215057594917608E-2</v>
      </c>
      <c r="H80" s="107">
        <v>56444.25</v>
      </c>
      <c r="I80" s="108">
        <f t="shared" si="5"/>
        <v>1.5055835712207125E-2</v>
      </c>
    </row>
    <row r="81" spans="1:9" s="32" customFormat="1" x14ac:dyDescent="0.3">
      <c r="A81"/>
      <c r="B81" s="97"/>
      <c r="E81" s="105">
        <v>45641</v>
      </c>
      <c r="F81" s="32">
        <v>1544.8</v>
      </c>
      <c r="G81" s="106">
        <f t="shared" si="4"/>
        <v>2.14281061385177E-2</v>
      </c>
      <c r="H81" s="107">
        <v>55600.800000000003</v>
      </c>
      <c r="I81" s="108">
        <f t="shared" si="5"/>
        <v>-2.2559821242765427E-2</v>
      </c>
    </row>
    <row r="82" spans="1:9" s="32" customFormat="1" x14ac:dyDescent="0.3">
      <c r="A82"/>
      <c r="B82" s="97"/>
      <c r="E82" s="105">
        <v>45634</v>
      </c>
      <c r="F82" s="32">
        <v>1512.05</v>
      </c>
      <c r="G82" s="106">
        <f t="shared" si="4"/>
        <v>-3.004641291048138E-3</v>
      </c>
      <c r="H82" s="107">
        <v>56869.4</v>
      </c>
      <c r="I82" s="108">
        <f t="shared" si="5"/>
        <v>-1.5267232346910438E-2</v>
      </c>
    </row>
    <row r="83" spans="1:9" s="32" customFormat="1" x14ac:dyDescent="0.3">
      <c r="A83"/>
      <c r="B83" s="97"/>
      <c r="E83" s="105">
        <v>45627</v>
      </c>
      <c r="F83" s="32">
        <v>1516.6</v>
      </c>
      <c r="G83" s="106">
        <f t="shared" si="4"/>
        <v>-8.208339747270605E-3</v>
      </c>
      <c r="H83" s="107">
        <v>57744.3</v>
      </c>
      <c r="I83" s="108">
        <f t="shared" si="5"/>
        <v>-3.4472062350397186E-3</v>
      </c>
    </row>
    <row r="84" spans="1:9" s="32" customFormat="1" x14ac:dyDescent="0.3">
      <c r="A84"/>
      <c r="B84" s="97"/>
      <c r="E84" s="105">
        <v>45620</v>
      </c>
      <c r="F84" s="32">
        <v>1529.1</v>
      </c>
      <c r="G84" s="106">
        <f t="shared" si="4"/>
        <v>1.9114223923470858E-2</v>
      </c>
      <c r="H84" s="107">
        <v>57943.7</v>
      </c>
      <c r="I84" s="108">
        <f t="shared" si="5"/>
        <v>1.7184908743678132E-2</v>
      </c>
    </row>
    <row r="85" spans="1:9" s="32" customFormat="1" x14ac:dyDescent="0.3">
      <c r="A85"/>
      <c r="B85" s="97"/>
      <c r="E85" s="105">
        <v>45613</v>
      </c>
      <c r="F85" s="32">
        <v>1500.15</v>
      </c>
      <c r="G85" s="106">
        <f t="shared" si="4"/>
        <v>3.9291375250495135E-2</v>
      </c>
      <c r="H85" s="107">
        <v>56956.45</v>
      </c>
      <c r="I85" s="108">
        <f t="shared" si="5"/>
        <v>2.0823155249346116E-2</v>
      </c>
    </row>
    <row r="86" spans="1:9" s="32" customFormat="1" x14ac:dyDescent="0.3">
      <c r="A86"/>
      <c r="B86" s="97"/>
      <c r="E86" s="105">
        <v>45606</v>
      </c>
      <c r="F86" s="32">
        <v>1442.35</v>
      </c>
      <c r="G86" s="106">
        <f t="shared" si="4"/>
        <v>-4.3583604099151447E-3</v>
      </c>
      <c r="H86" s="107">
        <v>55782.7</v>
      </c>
      <c r="I86" s="108">
        <f t="shared" si="5"/>
        <v>-4.5156657113418049E-2</v>
      </c>
    </row>
    <row r="87" spans="1:9" s="32" customFormat="1" x14ac:dyDescent="0.3">
      <c r="A87"/>
      <c r="B87" s="97"/>
      <c r="E87" s="105">
        <v>45599</v>
      </c>
      <c r="F87" s="32">
        <v>1448.65</v>
      </c>
      <c r="G87" s="106">
        <f t="shared" si="4"/>
        <v>-3.1015256787493848E-3</v>
      </c>
      <c r="H87" s="107">
        <v>58359.4</v>
      </c>
      <c r="I87" s="108">
        <f t="shared" si="5"/>
        <v>-1.8232550201143848E-2</v>
      </c>
    </row>
    <row r="88" spans="1:9" s="32" customFormat="1" x14ac:dyDescent="0.3">
      <c r="A88"/>
      <c r="B88" s="97"/>
      <c r="E88" s="105">
        <v>45592</v>
      </c>
      <c r="F88" s="32">
        <v>1453.15</v>
      </c>
      <c r="G88" s="106">
        <f t="shared" si="4"/>
        <v>-1.8443599834561848E-2</v>
      </c>
      <c r="H88" s="107">
        <v>59433.2</v>
      </c>
      <c r="I88" s="108">
        <f t="shared" si="5"/>
        <v>8.8676001490882762E-3</v>
      </c>
    </row>
    <row r="89" spans="1:9" s="32" customFormat="1" x14ac:dyDescent="0.3">
      <c r="A89"/>
      <c r="B89" s="97"/>
      <c r="E89" s="105">
        <v>45585</v>
      </c>
      <c r="F89" s="32">
        <v>1480.2</v>
      </c>
      <c r="G89" s="106">
        <f t="shared" si="4"/>
        <v>-2.6039578252098575E-2</v>
      </c>
      <c r="H89" s="107">
        <v>58908.5</v>
      </c>
      <c r="I89" s="108">
        <f t="shared" si="5"/>
        <v>-3.5578397414736465E-2</v>
      </c>
    </row>
    <row r="90" spans="1:9" s="32" customFormat="1" x14ac:dyDescent="0.3">
      <c r="A90"/>
      <c r="B90" s="97"/>
      <c r="E90" s="105">
        <v>45578</v>
      </c>
      <c r="F90" s="32">
        <v>1519.25</v>
      </c>
      <c r="G90" s="106">
        <f t="shared" si="4"/>
        <v>-1.9744636104685598E-4</v>
      </c>
      <c r="H90" s="107">
        <v>61042.1</v>
      </c>
      <c r="I90" s="108">
        <f t="shared" si="5"/>
        <v>-1.686330746512461E-2</v>
      </c>
    </row>
    <row r="91" spans="1:9" s="32" customFormat="1" x14ac:dyDescent="0.3">
      <c r="A91"/>
      <c r="B91" s="97"/>
      <c r="E91" s="105">
        <v>45571</v>
      </c>
      <c r="F91" s="32">
        <v>1519.55</v>
      </c>
      <c r="G91" s="106">
        <f t="shared" si="4"/>
        <v>-7.7354609066225882E-3</v>
      </c>
      <c r="H91" s="107">
        <v>62080.2</v>
      </c>
      <c r="I91" s="108">
        <f t="shared" si="5"/>
        <v>-2.0722045635600303E-2</v>
      </c>
    </row>
    <row r="92" spans="1:9" s="32" customFormat="1" x14ac:dyDescent="0.3">
      <c r="A92"/>
      <c r="B92" s="97"/>
      <c r="E92" s="105">
        <v>45564</v>
      </c>
      <c r="F92" s="32">
        <v>1531.35</v>
      </c>
      <c r="G92" s="106">
        <f t="shared" si="4"/>
        <v>-4.1726668928564331E-2</v>
      </c>
      <c r="H92" s="107">
        <v>63380.05</v>
      </c>
      <c r="I92" s="108">
        <f t="shared" si="5"/>
        <v>-3.8161186215879828E-2</v>
      </c>
    </row>
    <row r="93" spans="1:9" s="32" customFormat="1" x14ac:dyDescent="0.3">
      <c r="A93"/>
      <c r="B93" s="97"/>
      <c r="E93" s="105">
        <v>45557</v>
      </c>
      <c r="F93" s="32">
        <v>1596.6</v>
      </c>
      <c r="G93" s="106">
        <f t="shared" si="4"/>
        <v>1.4160924172685906E-2</v>
      </c>
      <c r="H93" s="107">
        <v>65845.45</v>
      </c>
      <c r="I93" s="108">
        <f t="shared" si="5"/>
        <v>-3.8491834246717099E-4</v>
      </c>
    </row>
    <row r="94" spans="1:9" s="32" customFormat="1" x14ac:dyDescent="0.3">
      <c r="A94"/>
      <c r="B94" s="97"/>
      <c r="E94" s="105">
        <v>45550</v>
      </c>
      <c r="F94" s="32">
        <v>1574.15</v>
      </c>
      <c r="G94" s="106">
        <f t="shared" si="4"/>
        <v>3.2803586959686104E-2</v>
      </c>
      <c r="H94" s="107">
        <v>65870.8</v>
      </c>
      <c r="I94" s="108">
        <f t="shared" si="5"/>
        <v>1.2342290397639628E-2</v>
      </c>
    </row>
    <row r="95" spans="1:9" s="32" customFormat="1" x14ac:dyDescent="0.3">
      <c r="A95"/>
      <c r="B95" s="97"/>
      <c r="E95" s="105">
        <v>45543</v>
      </c>
      <c r="F95" s="32">
        <v>1523.35</v>
      </c>
      <c r="G95" s="106">
        <f t="shared" si="4"/>
        <v>4.1311715184079265E-2</v>
      </c>
      <c r="H95" s="107">
        <v>65062.8</v>
      </c>
      <c r="I95" s="108">
        <f t="shared" si="5"/>
        <v>2.9433223770284477E-2</v>
      </c>
    </row>
    <row r="96" spans="1:9" s="32" customFormat="1" x14ac:dyDescent="0.3">
      <c r="A96"/>
      <c r="B96" s="97"/>
      <c r="E96" s="105">
        <v>45536</v>
      </c>
      <c r="F96" s="32">
        <v>1461.7</v>
      </c>
      <c r="G96" s="106">
        <f t="shared" si="4"/>
        <v>-8.6170727855009403E-3</v>
      </c>
      <c r="H96" s="107">
        <v>63175.7</v>
      </c>
      <c r="I96" s="108">
        <f t="shared" si="5"/>
        <v>1.8370439144997884E-3</v>
      </c>
    </row>
    <row r="97" spans="1:9" s="32" customFormat="1" x14ac:dyDescent="0.3">
      <c r="A97"/>
      <c r="B97" s="97"/>
      <c r="E97" s="105">
        <v>45529</v>
      </c>
      <c r="F97" s="32">
        <v>1474.35</v>
      </c>
      <c r="G97" s="106">
        <f t="shared" si="4"/>
        <v>3.0787555629003427E-2</v>
      </c>
      <c r="H97" s="107">
        <v>63059.75</v>
      </c>
      <c r="I97" s="108">
        <f t="shared" si="5"/>
        <v>-5.5270602237946394E-3</v>
      </c>
    </row>
    <row r="98" spans="1:9" s="32" customFormat="1" x14ac:dyDescent="0.3">
      <c r="A98"/>
      <c r="B98" s="97"/>
      <c r="E98" s="105">
        <v>45522</v>
      </c>
      <c r="F98" s="32">
        <v>1429.65</v>
      </c>
      <c r="G98" s="106">
        <f t="shared" si="4"/>
        <v>1.6467517175542692E-2</v>
      </c>
      <c r="H98" s="107">
        <v>63409.25</v>
      </c>
      <c r="I98" s="108">
        <f t="shared" si="5"/>
        <v>1.9045768732137591E-2</v>
      </c>
    </row>
    <row r="99" spans="1:9" s="32" customFormat="1" x14ac:dyDescent="0.3">
      <c r="A99"/>
      <c r="B99" s="97"/>
      <c r="E99" s="105">
        <v>45515</v>
      </c>
      <c r="F99" s="32">
        <v>1406.3</v>
      </c>
      <c r="G99" s="106">
        <f t="shared" si="4"/>
        <v>-3.400939387775781E-2</v>
      </c>
      <c r="H99" s="107">
        <v>62213</v>
      </c>
      <c r="I99" s="108">
        <f t="shared" si="5"/>
        <v>8.9490788944463233E-4</v>
      </c>
    </row>
    <row r="100" spans="1:9" s="32" customFormat="1" x14ac:dyDescent="0.3">
      <c r="A100"/>
      <c r="B100" s="97"/>
      <c r="E100" s="105">
        <v>45508</v>
      </c>
      <c r="F100" s="32">
        <v>1454.95</v>
      </c>
      <c r="G100" s="106">
        <f t="shared" si="4"/>
        <v>2.3610686656859094E-2</v>
      </c>
      <c r="H100" s="107">
        <v>62157.35</v>
      </c>
      <c r="I100" s="108">
        <f t="shared" si="5"/>
        <v>6.6536433196534425E-3</v>
      </c>
    </row>
    <row r="101" spans="1:9" s="32" customFormat="1" x14ac:dyDescent="0.3">
      <c r="A101"/>
      <c r="B101" s="97"/>
      <c r="E101" s="105">
        <v>45501</v>
      </c>
      <c r="F101" s="32">
        <v>1421</v>
      </c>
      <c r="G101" s="106">
        <f t="shared" si="4"/>
        <v>3.9486724554162796E-3</v>
      </c>
      <c r="H101" s="107">
        <v>61745.15</v>
      </c>
      <c r="I101" s="108">
        <f t="shared" si="5"/>
        <v>-1.5805242409277342E-2</v>
      </c>
    </row>
    <row r="102" spans="1:9" s="32" customFormat="1" x14ac:dyDescent="0.3">
      <c r="A102"/>
      <c r="B102" s="97"/>
      <c r="E102" s="105">
        <v>45494</v>
      </c>
      <c r="F102" s="32">
        <v>1415.4</v>
      </c>
      <c r="G102" s="106">
        <f t="shared" si="4"/>
        <v>8.678018093434596E-2</v>
      </c>
      <c r="H102" s="107">
        <v>62728.800000000003</v>
      </c>
      <c r="I102" s="108">
        <f t="shared" si="5"/>
        <v>2.6506861763334302E-2</v>
      </c>
    </row>
    <row r="103" spans="1:9" s="32" customFormat="1" x14ac:dyDescent="0.3">
      <c r="A103"/>
      <c r="B103" s="97"/>
      <c r="E103" s="105">
        <v>45487</v>
      </c>
      <c r="F103" s="32">
        <v>1297.75</v>
      </c>
      <c r="G103" s="106">
        <f t="shared" si="4"/>
        <v>6.2611319944190884E-3</v>
      </c>
      <c r="H103" s="107">
        <v>61087.9</v>
      </c>
      <c r="I103" s="108">
        <f t="shared" si="5"/>
        <v>2.2550559870793435E-2</v>
      </c>
    </row>
    <row r="104" spans="1:9" s="32" customFormat="1" x14ac:dyDescent="0.3">
      <c r="A104"/>
      <c r="B104" s="97"/>
      <c r="E104" s="105">
        <v>45480</v>
      </c>
      <c r="F104" s="32">
        <v>1289.6500000000001</v>
      </c>
      <c r="G104" s="106">
        <f t="shared" si="4"/>
        <v>2.7912811448742716E-2</v>
      </c>
      <c r="H104" s="107">
        <v>59725.75</v>
      </c>
      <c r="I104" s="108">
        <f t="shared" si="5"/>
        <v>3.4974124299723984E-2</v>
      </c>
    </row>
    <row r="105" spans="1:9" s="32" customFormat="1" x14ac:dyDescent="0.3">
      <c r="A105"/>
      <c r="B105" s="97"/>
      <c r="E105" s="105">
        <v>45473</v>
      </c>
      <c r="F105" s="32">
        <v>1254.1500000000001</v>
      </c>
      <c r="G105" s="106">
        <f t="shared" si="4"/>
        <v>-1.7663905417361802E-2</v>
      </c>
      <c r="H105" s="107">
        <v>57673</v>
      </c>
      <c r="I105" s="108">
        <f t="shared" si="5"/>
        <v>1.6012772465682966E-2</v>
      </c>
    </row>
    <row r="106" spans="1:9" s="32" customFormat="1" x14ac:dyDescent="0.3">
      <c r="A106"/>
      <c r="B106" s="97"/>
      <c r="E106" s="105">
        <v>45466</v>
      </c>
      <c r="F106" s="32">
        <v>1276.5</v>
      </c>
      <c r="G106" s="106">
        <f t="shared" si="4"/>
        <v>1.2494496736881461E-2</v>
      </c>
      <c r="H106" s="107">
        <v>56756.85</v>
      </c>
      <c r="I106" s="108">
        <f t="shared" si="5"/>
        <v>1.3601464530656028E-2</v>
      </c>
    </row>
    <row r="107" spans="1:9" s="32" customFormat="1" x14ac:dyDescent="0.3">
      <c r="A107"/>
      <c r="B107" s="97"/>
      <c r="E107" s="105">
        <v>45459</v>
      </c>
      <c r="F107" s="32">
        <v>1260.6500000000001</v>
      </c>
      <c r="G107" s="106">
        <f t="shared" si="4"/>
        <v>-6.6017277697306108E-3</v>
      </c>
      <c r="H107" s="107">
        <v>55990.1</v>
      </c>
      <c r="I107" s="108">
        <f t="shared" si="5"/>
        <v>-2.1830829983770082E-2</v>
      </c>
    </row>
    <row r="108" spans="1:9" s="32" customFormat="1" x14ac:dyDescent="0.3">
      <c r="A108"/>
      <c r="B108" s="97"/>
      <c r="E108" s="105">
        <v>45452</v>
      </c>
      <c r="F108" s="32">
        <v>1269</v>
      </c>
      <c r="G108" s="106">
        <f t="shared" si="4"/>
        <v>-2.9925968411307076E-2</v>
      </c>
      <c r="H108" s="107">
        <v>57225.85</v>
      </c>
      <c r="I108" s="108">
        <f t="shared" si="5"/>
        <v>-1.2632657194284287E-2</v>
      </c>
    </row>
    <row r="109" spans="1:9" s="32" customFormat="1" x14ac:dyDescent="0.3">
      <c r="A109"/>
      <c r="B109" s="97"/>
      <c r="E109" s="105">
        <v>45445</v>
      </c>
      <c r="F109" s="32">
        <v>1307.55</v>
      </c>
      <c r="G109" s="106">
        <f t="shared" si="4"/>
        <v>0.12025252722006216</v>
      </c>
      <c r="H109" s="107">
        <v>57953.35</v>
      </c>
      <c r="I109" s="108">
        <f t="shared" si="5"/>
        <v>6.8668340426705901E-2</v>
      </c>
    </row>
    <row r="110" spans="1:9" s="32" customFormat="1" x14ac:dyDescent="0.3">
      <c r="A110"/>
      <c r="B110" s="97"/>
      <c r="E110" s="105">
        <v>45438</v>
      </c>
      <c r="F110" s="32">
        <v>1159.4000000000001</v>
      </c>
      <c r="G110" s="106">
        <f t="shared" si="4"/>
        <v>-1.621252492847159E-2</v>
      </c>
      <c r="H110" s="107">
        <v>54107.35</v>
      </c>
      <c r="I110" s="108">
        <f t="shared" si="5"/>
        <v>-2.4496348409770021E-2</v>
      </c>
    </row>
    <row r="111" spans="1:9" s="32" customFormat="1" x14ac:dyDescent="0.3">
      <c r="A111"/>
      <c r="B111" s="97"/>
      <c r="E111" s="105">
        <v>45431</v>
      </c>
      <c r="F111" s="32">
        <v>1178.3499999999999</v>
      </c>
      <c r="G111" s="106">
        <f t="shared" si="4"/>
        <v>-3.5579689361676424E-3</v>
      </c>
      <c r="H111" s="107">
        <v>55449.15</v>
      </c>
      <c r="I111" s="108">
        <f t="shared" si="5"/>
        <v>6.9575270582623548E-3</v>
      </c>
    </row>
    <row r="112" spans="1:9" s="32" customFormat="1" x14ac:dyDescent="0.3">
      <c r="A112"/>
      <c r="B112" s="97"/>
      <c r="E112" s="105">
        <v>45424</v>
      </c>
      <c r="F112" s="32">
        <v>1182.55</v>
      </c>
      <c r="G112" s="106">
        <f t="shared" si="4"/>
        <v>-1.6646435668493047E-2</v>
      </c>
      <c r="H112" s="107">
        <v>55064.7</v>
      </c>
      <c r="I112" s="108">
        <f t="shared" si="5"/>
        <v>-3.8390059220861188E-3</v>
      </c>
    </row>
    <row r="113" spans="1:9" s="32" customFormat="1" x14ac:dyDescent="0.3">
      <c r="A113"/>
      <c r="B113" s="97"/>
      <c r="E113" s="105">
        <v>45417</v>
      </c>
      <c r="F113" s="32">
        <v>1202.4000000000001</v>
      </c>
      <c r="G113" s="106">
        <f t="shared" si="4"/>
        <v>-4.8948535944976614E-3</v>
      </c>
      <c r="H113" s="107">
        <v>55276.5</v>
      </c>
      <c r="I113" s="108">
        <f t="shared" si="5"/>
        <v>1.8304415016387278E-2</v>
      </c>
    </row>
    <row r="114" spans="1:9" s="32" customFormat="1" x14ac:dyDescent="0.3">
      <c r="A114"/>
      <c r="B114" s="97"/>
      <c r="E114" s="105">
        <v>45410</v>
      </c>
      <c r="F114" s="32">
        <v>1208.3</v>
      </c>
      <c r="G114" s="106">
        <f t="shared" si="4"/>
        <v>7.7682392931247065E-3</v>
      </c>
      <c r="H114" s="107">
        <v>54273.9</v>
      </c>
      <c r="I114" s="108">
        <f t="shared" si="5"/>
        <v>-4.9459059821676035E-4</v>
      </c>
    </row>
    <row r="115" spans="1:9" s="32" customFormat="1" x14ac:dyDescent="0.3">
      <c r="A115"/>
      <c r="B115" s="97"/>
      <c r="E115" s="105">
        <v>45403</v>
      </c>
      <c r="F115" s="32">
        <v>1198.95</v>
      </c>
      <c r="G115" s="106">
        <f t="shared" si="4"/>
        <v>6.5353454771147401E-2</v>
      </c>
      <c r="H115" s="107">
        <v>54300.75</v>
      </c>
      <c r="I115" s="108">
        <f t="shared" si="5"/>
        <v>2.3200445945408397E-2</v>
      </c>
    </row>
    <row r="116" spans="1:9" s="32" customFormat="1" x14ac:dyDescent="0.3">
      <c r="A116"/>
      <c r="B116" s="97"/>
      <c r="E116" s="105">
        <v>45396</v>
      </c>
      <c r="F116" s="32">
        <v>1123.0999999999999</v>
      </c>
      <c r="G116" s="106">
        <f t="shared" si="4"/>
        <v>-5.1918599689307343E-2</v>
      </c>
      <c r="H116" s="107">
        <v>53055.45</v>
      </c>
      <c r="I116" s="108">
        <f t="shared" si="5"/>
        <v>-1.2101478884692969E-2</v>
      </c>
    </row>
    <row r="117" spans="1:9" s="32" customFormat="1" x14ac:dyDescent="0.3">
      <c r="A117"/>
      <c r="B117" s="97"/>
      <c r="E117" s="105">
        <v>45389</v>
      </c>
      <c r="F117" s="32">
        <v>1182.95</v>
      </c>
      <c r="G117" s="106">
        <f t="shared" si="4"/>
        <v>4.7299243513897284E-2</v>
      </c>
      <c r="H117" s="107">
        <v>53701.4</v>
      </c>
      <c r="I117" s="108">
        <f t="shared" si="5"/>
        <v>-4.1727372422904465E-3</v>
      </c>
    </row>
    <row r="118" spans="1:9" s="32" customFormat="1" x14ac:dyDescent="0.3">
      <c r="A118"/>
      <c r="B118" s="97"/>
      <c r="E118" s="105">
        <v>45382</v>
      </c>
      <c r="F118" s="32">
        <v>1128.3</v>
      </c>
      <c r="G118" s="106">
        <f t="shared" si="4"/>
        <v>-5.2595643996728733E-3</v>
      </c>
      <c r="H118" s="107">
        <v>53925.95</v>
      </c>
      <c r="I118" s="108">
        <f t="shared" si="5"/>
        <v>-4.3105386847672167E-4</v>
      </c>
    </row>
    <row r="119" spans="1:9" s="32" customFormat="1" x14ac:dyDescent="0.3">
      <c r="A119"/>
      <c r="B119" s="97"/>
      <c r="E119" s="105">
        <v>45375</v>
      </c>
      <c r="F119" s="32">
        <v>1134.25</v>
      </c>
      <c r="G119" s="106">
        <f t="shared" si="4"/>
        <v>-2.203856758231346E-4</v>
      </c>
      <c r="H119" s="107">
        <v>53949.2</v>
      </c>
      <c r="I119" s="108">
        <f t="shared" si="5"/>
        <v>3.2211707788783097E-3</v>
      </c>
    </row>
    <row r="120" spans="1:9" s="32" customFormat="1" x14ac:dyDescent="0.3">
      <c r="A120"/>
      <c r="B120" s="97"/>
      <c r="E120" s="105">
        <v>45368</v>
      </c>
      <c r="F120" s="32">
        <v>1134.5</v>
      </c>
      <c r="G120" s="106">
        <f t="shared" si="4"/>
        <v>1.5187467194847846E-2</v>
      </c>
      <c r="H120" s="107">
        <v>53775.7</v>
      </c>
      <c r="I120" s="108">
        <f t="shared" si="5"/>
        <v>-7.0369224648466995E-3</v>
      </c>
    </row>
    <row r="121" spans="1:9" s="32" customFormat="1" x14ac:dyDescent="0.3">
      <c r="A121"/>
      <c r="B121" s="97"/>
      <c r="E121" s="105">
        <v>45361</v>
      </c>
      <c r="F121" s="32">
        <v>1117.4000000000001</v>
      </c>
      <c r="G121" s="106">
        <f t="shared" si="4"/>
        <v>-2.5709265272910637E-2</v>
      </c>
      <c r="H121" s="107">
        <v>54155.45</v>
      </c>
      <c r="I121" s="108">
        <f t="shared" si="5"/>
        <v>-4.6213412448831174E-3</v>
      </c>
    </row>
    <row r="122" spans="1:9" s="32" customFormat="1" x14ac:dyDescent="0.3">
      <c r="A122"/>
      <c r="B122" s="97"/>
      <c r="E122" s="105">
        <v>45354</v>
      </c>
      <c r="F122" s="32">
        <v>1146.5</v>
      </c>
      <c r="G122" s="106">
        <f t="shared" si="4"/>
        <v>-1.7936731553087223E-2</v>
      </c>
      <c r="H122" s="107">
        <v>54406.3</v>
      </c>
      <c r="I122" s="108">
        <f t="shared" si="5"/>
        <v>3.3351330192613778E-3</v>
      </c>
    </row>
    <row r="123" spans="1:9" s="32" customFormat="1" x14ac:dyDescent="0.3">
      <c r="A123"/>
      <c r="B123" s="97"/>
      <c r="E123" s="105">
        <v>45347</v>
      </c>
      <c r="F123" s="32">
        <v>1167.25</v>
      </c>
      <c r="G123" s="106">
        <f t="shared" si="4"/>
        <v>1.0285862133451412E-3</v>
      </c>
      <c r="H123" s="107">
        <v>54225.15</v>
      </c>
      <c r="I123" s="108">
        <f t="shared" si="5"/>
        <v>-2.0743742176516531E-3</v>
      </c>
    </row>
    <row r="124" spans="1:9" s="32" customFormat="1" x14ac:dyDescent="0.3">
      <c r="A124"/>
      <c r="B124" s="97"/>
      <c r="E124" s="105">
        <v>45340</v>
      </c>
      <c r="F124" s="32">
        <v>1166.05</v>
      </c>
      <c r="G124" s="106">
        <f t="shared" si="4"/>
        <v>3.4595262233923396E-2</v>
      </c>
      <c r="H124" s="107">
        <v>54337.75</v>
      </c>
      <c r="I124" s="108">
        <f t="shared" si="5"/>
        <v>1.5189940146098571E-2</v>
      </c>
    </row>
    <row r="125" spans="1:9" s="32" customFormat="1" x14ac:dyDescent="0.3">
      <c r="A125"/>
      <c r="B125" s="97"/>
      <c r="E125" s="105">
        <v>45333</v>
      </c>
      <c r="F125" s="32">
        <v>1126.4000000000001</v>
      </c>
      <c r="G125" s="106">
        <f t="shared" si="4"/>
        <v>1.3316251999526787E-2</v>
      </c>
      <c r="H125" s="107">
        <v>53518.6</v>
      </c>
      <c r="I125" s="108">
        <f t="shared" si="5"/>
        <v>-6.4906449085895693E-3</v>
      </c>
    </row>
    <row r="126" spans="1:9" s="32" customFormat="1" x14ac:dyDescent="0.3">
      <c r="A126"/>
      <c r="B126" s="97"/>
      <c r="E126" s="105">
        <v>45326</v>
      </c>
      <c r="F126" s="32">
        <v>1111.5</v>
      </c>
      <c r="G126" s="106">
        <f t="shared" si="4"/>
        <v>2.3163193454548807E-2</v>
      </c>
      <c r="H126" s="107">
        <v>53867.1</v>
      </c>
      <c r="I126" s="108">
        <f t="shared" si="5"/>
        <v>-2.2963696766914041E-2</v>
      </c>
    </row>
    <row r="127" spans="1:9" s="32" customFormat="1" x14ac:dyDescent="0.3">
      <c r="A127"/>
      <c r="B127" s="97"/>
      <c r="E127" s="105">
        <v>45319</v>
      </c>
      <c r="F127" s="32">
        <v>1086.05</v>
      </c>
      <c r="G127" s="106">
        <f t="shared" si="4"/>
        <v>-9.1199275582584133E-3</v>
      </c>
      <c r="H127" s="107">
        <v>55118.400000000001</v>
      </c>
      <c r="I127" s="108">
        <f t="shared" si="5"/>
        <v>-1.7347567398511223E-3</v>
      </c>
    </row>
    <row r="128" spans="1:9" s="32" customFormat="1" x14ac:dyDescent="0.3">
      <c r="A128"/>
      <c r="B128" s="97"/>
      <c r="E128" s="105">
        <v>45312</v>
      </c>
      <c r="F128" s="32">
        <v>1096</v>
      </c>
      <c r="G128" s="106">
        <f t="shared" si="4"/>
        <v>1.2301633145083504E-2</v>
      </c>
      <c r="H128" s="107">
        <v>55214.1</v>
      </c>
      <c r="I128" s="108">
        <f t="shared" si="5"/>
        <v>-2.5505921582367749E-2</v>
      </c>
    </row>
    <row r="129" spans="1:9" s="32" customFormat="1" x14ac:dyDescent="0.3">
      <c r="A129"/>
      <c r="B129" s="97"/>
      <c r="E129" s="105">
        <v>45305</v>
      </c>
      <c r="F129" s="32">
        <v>1082.5999999999999</v>
      </c>
      <c r="G129" s="106">
        <f t="shared" si="4"/>
        <v>-2.6344899041373864E-2</v>
      </c>
      <c r="H129" s="107">
        <v>56640.5</v>
      </c>
      <c r="I129" s="108">
        <f t="shared" si="5"/>
        <v>2.7358830779952497E-3</v>
      </c>
    </row>
    <row r="130" spans="1:9" s="32" customFormat="1" x14ac:dyDescent="0.3">
      <c r="A130"/>
      <c r="B130" s="97"/>
      <c r="E130" s="105">
        <v>45298</v>
      </c>
      <c r="F130" s="32">
        <v>1111.5</v>
      </c>
      <c r="G130" s="106">
        <f t="shared" si="4"/>
        <v>9.4461844520501159E-3</v>
      </c>
      <c r="H130" s="107">
        <v>56485.75</v>
      </c>
      <c r="I130" s="108">
        <f t="shared" si="5"/>
        <v>-2.0702761518323464E-2</v>
      </c>
    </row>
    <row r="131" spans="1:9" s="32" customFormat="1" x14ac:dyDescent="0.3">
      <c r="A131"/>
      <c r="B131" s="97"/>
      <c r="E131" s="105">
        <v>45291</v>
      </c>
      <c r="F131" s="32">
        <v>1101.05</v>
      </c>
      <c r="G131" s="106">
        <f t="shared" si="4"/>
        <v>-1.5053466161888879E-2</v>
      </c>
      <c r="H131" s="107">
        <v>57667.35</v>
      </c>
      <c r="I131" s="108">
        <f t="shared" si="5"/>
        <v>1.1864474257090618E-2</v>
      </c>
    </row>
    <row r="132" spans="1:9" s="32" customFormat="1" x14ac:dyDescent="0.3">
      <c r="A132"/>
      <c r="B132" s="97"/>
      <c r="E132" s="105">
        <v>45284</v>
      </c>
      <c r="F132" s="32">
        <v>1117.75</v>
      </c>
      <c r="G132" s="106">
        <f t="shared" si="4"/>
        <v>3.8067274392360254E-2</v>
      </c>
      <c r="H132" s="107">
        <v>56987.199999999997</v>
      </c>
      <c r="I132" s="108">
        <f t="shared" si="5"/>
        <v>3.3657908974710347E-2</v>
      </c>
    </row>
    <row r="133" spans="1:9" s="32" customFormat="1" x14ac:dyDescent="0.3">
      <c r="A133"/>
      <c r="B133" s="97"/>
      <c r="E133" s="105">
        <v>45277</v>
      </c>
      <c r="F133" s="32">
        <v>1076</v>
      </c>
      <c r="G133" s="106">
        <f t="shared" si="4"/>
        <v>-6.7153198982890907E-3</v>
      </c>
      <c r="H133" s="107">
        <v>55101.05</v>
      </c>
      <c r="I133" s="108">
        <f t="shared" si="5"/>
        <v>1.6742508758445854E-2</v>
      </c>
    </row>
    <row r="134" spans="1:9" s="32" customFormat="1" x14ac:dyDescent="0.3">
      <c r="A134"/>
      <c r="B134" s="97"/>
      <c r="E134" s="105">
        <v>45270</v>
      </c>
      <c r="F134" s="32">
        <v>1083.25</v>
      </c>
      <c r="G134" s="106">
        <f t="shared" ref="G134:G197" si="6">LN(F134/F135)</f>
        <v>3.5709690383344476E-2</v>
      </c>
      <c r="H134" s="107">
        <v>54186.2</v>
      </c>
      <c r="I134" s="108">
        <f t="shared" ref="I134:I197" si="7">LN(H134/H135)</f>
        <v>1.0199253616123647E-2</v>
      </c>
    </row>
    <row r="135" spans="1:9" s="32" customFormat="1" x14ac:dyDescent="0.3">
      <c r="A135"/>
      <c r="B135" s="97"/>
      <c r="E135" s="105">
        <v>45263</v>
      </c>
      <c r="F135" s="32">
        <v>1045.25</v>
      </c>
      <c r="G135" s="106">
        <f t="shared" si="6"/>
        <v>-8.1465875385109965E-3</v>
      </c>
      <c r="H135" s="107">
        <v>53636.35</v>
      </c>
      <c r="I135" s="108">
        <f t="shared" si="7"/>
        <v>-4.0023200239042607E-3</v>
      </c>
    </row>
    <row r="136" spans="1:9" s="32" customFormat="1" x14ac:dyDescent="0.3">
      <c r="A136"/>
      <c r="B136" s="97"/>
      <c r="E136" s="105">
        <v>45256</v>
      </c>
      <c r="F136" s="32">
        <v>1053.8</v>
      </c>
      <c r="G136" s="106">
        <f t="shared" si="6"/>
        <v>1.0781004102228807E-2</v>
      </c>
      <c r="H136" s="107">
        <v>53851.45</v>
      </c>
      <c r="I136" s="108">
        <f t="shared" si="7"/>
        <v>2.3952470102944361E-2</v>
      </c>
    </row>
    <row r="137" spans="1:9" s="32" customFormat="1" x14ac:dyDescent="0.3">
      <c r="A137"/>
      <c r="B137" s="97"/>
      <c r="E137" s="105">
        <v>45249</v>
      </c>
      <c r="F137" s="32">
        <v>1042.5</v>
      </c>
      <c r="G137" s="106">
        <f t="shared" si="6"/>
        <v>-1.3292556186572563E-2</v>
      </c>
      <c r="H137" s="107">
        <v>52576.9</v>
      </c>
      <c r="I137" s="108">
        <f t="shared" si="7"/>
        <v>-3.4025456958009649E-3</v>
      </c>
    </row>
    <row r="138" spans="1:9" s="32" customFormat="1" x14ac:dyDescent="0.3">
      <c r="A138"/>
      <c r="B138" s="97"/>
      <c r="E138" s="105">
        <v>45242</v>
      </c>
      <c r="F138" s="32">
        <v>1056.45</v>
      </c>
      <c r="G138" s="106">
        <f t="shared" si="6"/>
        <v>1.1519548558203013E-2</v>
      </c>
      <c r="H138" s="107">
        <v>52756.1</v>
      </c>
      <c r="I138" s="108">
        <f t="shared" si="7"/>
        <v>1.2974255310958216E-2</v>
      </c>
    </row>
    <row r="139" spans="1:9" s="32" customFormat="1" x14ac:dyDescent="0.3">
      <c r="A139"/>
      <c r="B139" s="97"/>
      <c r="E139" s="105">
        <v>45235</v>
      </c>
      <c r="F139" s="32">
        <v>1044.3499999999999</v>
      </c>
      <c r="G139" s="106">
        <f t="shared" si="6"/>
        <v>-2.5384833075636791E-2</v>
      </c>
      <c r="H139" s="107">
        <v>52076.05</v>
      </c>
      <c r="I139" s="108">
        <f t="shared" si="7"/>
        <v>3.3574586815769878E-3</v>
      </c>
    </row>
    <row r="140" spans="1:9" s="32" customFormat="1" x14ac:dyDescent="0.3">
      <c r="A140"/>
      <c r="B140" s="97"/>
      <c r="E140" s="105">
        <v>45228</v>
      </c>
      <c r="F140" s="32">
        <v>1071.2</v>
      </c>
      <c r="G140" s="106">
        <f t="shared" si="6"/>
        <v>4.7066948489175975E-2</v>
      </c>
      <c r="H140" s="107">
        <v>51901.5</v>
      </c>
      <c r="I140" s="108">
        <f t="shared" si="7"/>
        <v>9.8068000234145768E-3</v>
      </c>
    </row>
    <row r="141" spans="1:9" s="32" customFormat="1" x14ac:dyDescent="0.3">
      <c r="A141"/>
      <c r="B141" s="97"/>
      <c r="E141" s="105">
        <v>45221</v>
      </c>
      <c r="F141" s="32">
        <v>1021.95</v>
      </c>
      <c r="G141" s="106">
        <f t="shared" si="6"/>
        <v>-1.7604295471300418E-2</v>
      </c>
      <c r="H141" s="107">
        <v>51395</v>
      </c>
      <c r="I141" s="108">
        <f t="shared" si="7"/>
        <v>-8.2999284340570349E-3</v>
      </c>
    </row>
    <row r="142" spans="1:9" s="32" customFormat="1" x14ac:dyDescent="0.3">
      <c r="A142"/>
      <c r="B142" s="97"/>
      <c r="E142" s="105">
        <v>45214</v>
      </c>
      <c r="F142" s="32">
        <v>1040.0999999999999</v>
      </c>
      <c r="G142" s="106">
        <f t="shared" si="6"/>
        <v>-2.6704933165046959E-2</v>
      </c>
      <c r="H142" s="107">
        <v>51823.35</v>
      </c>
      <c r="I142" s="108">
        <f t="shared" si="7"/>
        <v>-1.3366557702735146E-2</v>
      </c>
    </row>
    <row r="143" spans="1:9" s="32" customFormat="1" x14ac:dyDescent="0.3">
      <c r="A143"/>
      <c r="B143" s="97"/>
      <c r="E143" s="105">
        <v>45207</v>
      </c>
      <c r="F143" s="32">
        <v>1068.25</v>
      </c>
      <c r="G143" s="106">
        <f t="shared" si="6"/>
        <v>4.1670704678166158E-2</v>
      </c>
      <c r="H143" s="107">
        <v>52520.7</v>
      </c>
      <c r="I143" s="108">
        <f t="shared" si="7"/>
        <v>1.8114091432121289E-2</v>
      </c>
    </row>
    <row r="144" spans="1:9" s="32" customFormat="1" x14ac:dyDescent="0.3">
      <c r="A144"/>
      <c r="B144" s="97"/>
      <c r="E144" s="105">
        <v>45200</v>
      </c>
      <c r="F144" s="32">
        <v>1024.6500000000001</v>
      </c>
      <c r="G144" s="106">
        <f t="shared" si="6"/>
        <v>1.7127245774511399E-2</v>
      </c>
      <c r="H144" s="107">
        <v>51577.9</v>
      </c>
      <c r="I144" s="108">
        <f t="shared" si="7"/>
        <v>-4.7974158840380138E-4</v>
      </c>
    </row>
    <row r="145" spans="1:9" s="32" customFormat="1" x14ac:dyDescent="0.3">
      <c r="A145"/>
      <c r="B145" s="97"/>
      <c r="E145" s="105">
        <v>45193</v>
      </c>
      <c r="F145" s="32">
        <v>1007.25</v>
      </c>
      <c r="G145" s="106">
        <f t="shared" si="6"/>
        <v>-1.0075651988741587E-2</v>
      </c>
      <c r="H145" s="107">
        <v>51602.65</v>
      </c>
      <c r="I145" s="108">
        <f t="shared" si="7"/>
        <v>-1.1335984544820142E-4</v>
      </c>
    </row>
    <row r="146" spans="1:9" s="32" customFormat="1" x14ac:dyDescent="0.3">
      <c r="A146"/>
      <c r="B146" s="97"/>
      <c r="E146" s="105">
        <v>45186</v>
      </c>
      <c r="F146" s="32">
        <v>1017.45</v>
      </c>
      <c r="G146" s="106">
        <f t="shared" si="6"/>
        <v>-3.0490166757787276E-2</v>
      </c>
      <c r="H146" s="107">
        <v>51608.5</v>
      </c>
      <c r="I146" s="108">
        <f t="shared" si="7"/>
        <v>-5.5389492615409777E-3</v>
      </c>
    </row>
    <row r="147" spans="1:9" s="32" customFormat="1" x14ac:dyDescent="0.3">
      <c r="A147"/>
      <c r="B147" s="97"/>
      <c r="E147" s="105">
        <v>45179</v>
      </c>
      <c r="F147" s="32">
        <v>1048.95</v>
      </c>
      <c r="G147" s="106">
        <f t="shared" si="6"/>
        <v>-5.940658585119358E-3</v>
      </c>
      <c r="H147" s="107">
        <v>51895.15</v>
      </c>
      <c r="I147" s="108">
        <f t="shared" si="7"/>
        <v>2.2541942894743643E-3</v>
      </c>
    </row>
    <row r="148" spans="1:9" s="32" customFormat="1" x14ac:dyDescent="0.3">
      <c r="A148"/>
      <c r="B148" s="97"/>
      <c r="E148" s="105">
        <v>45172</v>
      </c>
      <c r="F148" s="32">
        <v>1055.2</v>
      </c>
      <c r="G148" s="106">
        <f t="shared" si="6"/>
        <v>4.1357186357826467E-2</v>
      </c>
      <c r="H148" s="107">
        <v>51778.3</v>
      </c>
      <c r="I148" s="108">
        <f t="shared" si="7"/>
        <v>1.0440907592988937E-2</v>
      </c>
    </row>
    <row r="149" spans="1:9" s="32" customFormat="1" x14ac:dyDescent="0.3">
      <c r="A149"/>
      <c r="B149" s="97"/>
      <c r="E149" s="105">
        <v>45165</v>
      </c>
      <c r="F149" s="32">
        <v>1012.45</v>
      </c>
      <c r="G149" s="106">
        <f t="shared" si="6"/>
        <v>4.2561679611937556E-3</v>
      </c>
      <c r="H149" s="107">
        <v>51240.5</v>
      </c>
      <c r="I149" s="108">
        <f t="shared" si="7"/>
        <v>-5.1836028057965153E-3</v>
      </c>
    </row>
    <row r="150" spans="1:9" s="32" customFormat="1" x14ac:dyDescent="0.3">
      <c r="A150"/>
      <c r="B150" s="97"/>
      <c r="E150" s="105">
        <v>45158</v>
      </c>
      <c r="F150" s="32">
        <v>1008.15</v>
      </c>
      <c r="G150" s="106">
        <f t="shared" si="6"/>
        <v>1.2677350858279054E-2</v>
      </c>
      <c r="H150" s="107">
        <v>51506.8</v>
      </c>
      <c r="I150" s="108">
        <f t="shared" si="7"/>
        <v>8.1673049181949799E-4</v>
      </c>
    </row>
    <row r="151" spans="1:9" s="32" customFormat="1" x14ac:dyDescent="0.3">
      <c r="A151"/>
      <c r="B151" s="97"/>
      <c r="E151" s="105">
        <v>45151</v>
      </c>
      <c r="F151" s="32">
        <v>995.45</v>
      </c>
      <c r="G151" s="106">
        <f t="shared" si="6"/>
        <v>7.9171387547811028E-3</v>
      </c>
      <c r="H151" s="107">
        <v>51464.75</v>
      </c>
      <c r="I151" s="108">
        <f t="shared" si="7"/>
        <v>2.199065335519639E-3</v>
      </c>
    </row>
    <row r="152" spans="1:9" s="32" customFormat="1" x14ac:dyDescent="0.3">
      <c r="A152"/>
      <c r="B152" s="97"/>
      <c r="E152" s="105">
        <v>45144</v>
      </c>
      <c r="F152" s="32">
        <v>987.6</v>
      </c>
      <c r="G152" s="106">
        <f t="shared" si="6"/>
        <v>-1.8409890164220823E-2</v>
      </c>
      <c r="H152" s="107">
        <v>51351.7</v>
      </c>
      <c r="I152" s="108">
        <f t="shared" si="7"/>
        <v>-1.3519241014375464E-2</v>
      </c>
    </row>
    <row r="153" spans="1:9" s="32" customFormat="1" x14ac:dyDescent="0.3">
      <c r="A153"/>
      <c r="B153" s="97"/>
      <c r="E153" s="105">
        <v>45137</v>
      </c>
      <c r="F153" s="32">
        <v>1005.95</v>
      </c>
      <c r="G153" s="106">
        <f t="shared" si="6"/>
        <v>-5.8479698824230996E-3</v>
      </c>
      <c r="H153" s="107">
        <v>52050.65</v>
      </c>
      <c r="I153" s="108">
        <f t="shared" si="7"/>
        <v>-1.7396098539205571E-2</v>
      </c>
    </row>
    <row r="154" spans="1:9" s="32" customFormat="1" x14ac:dyDescent="0.3">
      <c r="A154"/>
      <c r="B154" s="97"/>
      <c r="E154" s="105">
        <v>45130</v>
      </c>
      <c r="F154" s="32">
        <v>1011.85</v>
      </c>
      <c r="G154" s="106">
        <f t="shared" si="6"/>
        <v>-2.6526495619055287E-2</v>
      </c>
      <c r="H154" s="107">
        <v>52964.05</v>
      </c>
      <c r="I154" s="108">
        <f t="shared" si="7"/>
        <v>-1.3752132839277783E-2</v>
      </c>
    </row>
    <row r="155" spans="1:9" s="32" customFormat="1" x14ac:dyDescent="0.3">
      <c r="A155"/>
      <c r="B155" s="97"/>
      <c r="E155" s="105">
        <v>45123</v>
      </c>
      <c r="F155" s="32">
        <v>1039.05</v>
      </c>
      <c r="G155" s="106">
        <f t="shared" si="6"/>
        <v>9.5088848253571209E-2</v>
      </c>
      <c r="H155" s="107">
        <v>53697.45</v>
      </c>
      <c r="I155" s="108">
        <f t="shared" si="7"/>
        <v>4.5496557051557694E-3</v>
      </c>
    </row>
    <row r="156" spans="1:9" s="32" customFormat="1" x14ac:dyDescent="0.3">
      <c r="A156"/>
      <c r="B156" s="97"/>
      <c r="E156" s="105">
        <v>45116</v>
      </c>
      <c r="F156" s="32">
        <v>944.8</v>
      </c>
      <c r="G156" s="106">
        <f t="shared" si="6"/>
        <v>3.2431786445845205E-2</v>
      </c>
      <c r="H156" s="107">
        <v>53453.7</v>
      </c>
      <c r="I156" s="108">
        <f t="shared" si="7"/>
        <v>9.6103841143263691E-3</v>
      </c>
    </row>
    <row r="157" spans="1:9" s="32" customFormat="1" x14ac:dyDescent="0.3">
      <c r="A157"/>
      <c r="B157" s="97"/>
      <c r="E157" s="105">
        <v>45109</v>
      </c>
      <c r="F157" s="32">
        <v>914.65</v>
      </c>
      <c r="G157" s="106">
        <f t="shared" si="6"/>
        <v>2.6822141597071785E-3</v>
      </c>
      <c r="H157" s="107">
        <v>52942.45</v>
      </c>
      <c r="I157" s="108">
        <f t="shared" si="7"/>
        <v>1.4223559416346182E-2</v>
      </c>
    </row>
    <row r="158" spans="1:9" s="32" customFormat="1" x14ac:dyDescent="0.3">
      <c r="A158"/>
      <c r="B158" s="97"/>
      <c r="E158" s="105">
        <v>45102</v>
      </c>
      <c r="F158" s="32">
        <v>912.2</v>
      </c>
      <c r="G158" s="106">
        <f t="shared" si="6"/>
        <v>6.157925770851282E-3</v>
      </c>
      <c r="H158" s="107">
        <v>52194.75</v>
      </c>
      <c r="I158" s="108">
        <f t="shared" si="7"/>
        <v>1.7607977254158674E-2</v>
      </c>
    </row>
    <row r="159" spans="1:9" s="32" customFormat="1" x14ac:dyDescent="0.3">
      <c r="A159"/>
      <c r="B159" s="97"/>
      <c r="E159" s="105">
        <v>45095</v>
      </c>
      <c r="F159" s="32">
        <v>906.6</v>
      </c>
      <c r="G159" s="106">
        <f t="shared" si="6"/>
        <v>-3.0287200662780351E-3</v>
      </c>
      <c r="H159" s="107">
        <v>51283.75</v>
      </c>
      <c r="I159" s="108">
        <f t="shared" si="7"/>
        <v>-2.2299534906943429E-2</v>
      </c>
    </row>
    <row r="160" spans="1:9" s="32" customFormat="1" x14ac:dyDescent="0.3">
      <c r="A160"/>
      <c r="B160" s="97"/>
      <c r="E160" s="105">
        <v>45088</v>
      </c>
      <c r="F160" s="32">
        <v>909.35</v>
      </c>
      <c r="G160" s="106">
        <f t="shared" si="6"/>
        <v>2.3533115715024942E-2</v>
      </c>
      <c r="H160" s="107">
        <v>52440.2</v>
      </c>
      <c r="I160" s="108">
        <f t="shared" si="7"/>
        <v>3.4243740476543015E-2</v>
      </c>
    </row>
    <row r="161" spans="1:9" s="32" customFormat="1" x14ac:dyDescent="0.3">
      <c r="A161"/>
      <c r="B161" s="97"/>
      <c r="E161" s="105">
        <v>45081</v>
      </c>
      <c r="F161" s="32">
        <v>888.2</v>
      </c>
      <c r="G161" s="106">
        <f t="shared" si="6"/>
        <v>1.5373136521727228E-2</v>
      </c>
      <c r="H161" s="107">
        <v>50674.85</v>
      </c>
      <c r="I161" s="108">
        <f t="shared" si="7"/>
        <v>-1.2039747840302673E-2</v>
      </c>
    </row>
    <row r="162" spans="1:9" s="32" customFormat="1" x14ac:dyDescent="0.3">
      <c r="A162"/>
      <c r="B162" s="97"/>
      <c r="E162" s="105">
        <v>45074</v>
      </c>
      <c r="F162" s="32">
        <v>874.65</v>
      </c>
      <c r="G162" s="106">
        <f t="shared" si="6"/>
        <v>1.8462417906403687E-2</v>
      </c>
      <c r="H162" s="107">
        <v>51288.65</v>
      </c>
      <c r="I162" s="108">
        <f t="shared" si="7"/>
        <v>1.7716428644461636E-2</v>
      </c>
    </row>
    <row r="163" spans="1:9" s="32" customFormat="1" x14ac:dyDescent="0.3">
      <c r="A163"/>
      <c r="B163" s="97"/>
      <c r="E163" s="105">
        <v>45067</v>
      </c>
      <c r="F163" s="32">
        <v>858.65</v>
      </c>
      <c r="G163" s="106">
        <f t="shared" si="6"/>
        <v>4.9661095932077848E-2</v>
      </c>
      <c r="H163" s="107">
        <v>50388</v>
      </c>
      <c r="I163" s="108">
        <f t="shared" si="7"/>
        <v>3.0502378570808737E-2</v>
      </c>
    </row>
    <row r="164" spans="1:9" s="32" customFormat="1" x14ac:dyDescent="0.3">
      <c r="A164"/>
      <c r="B164" s="97"/>
      <c r="E164" s="105">
        <v>45060</v>
      </c>
      <c r="F164" s="32">
        <v>817.05</v>
      </c>
      <c r="G164" s="106">
        <f t="shared" si="6"/>
        <v>2.6666593143927744E-2</v>
      </c>
      <c r="H164" s="107">
        <v>48874.25</v>
      </c>
      <c r="I164" s="108">
        <f t="shared" si="7"/>
        <v>-1.5640176967894022E-3</v>
      </c>
    </row>
    <row r="165" spans="1:9" s="32" customFormat="1" x14ac:dyDescent="0.3">
      <c r="A165"/>
      <c r="B165" s="97"/>
      <c r="E165" s="105">
        <v>45053</v>
      </c>
      <c r="F165" s="32">
        <v>795.55</v>
      </c>
      <c r="G165" s="106">
        <f t="shared" si="6"/>
        <v>1.0741920553034951E-2</v>
      </c>
      <c r="H165" s="107">
        <v>48950.75</v>
      </c>
      <c r="I165" s="108">
        <f t="shared" si="7"/>
        <v>1.5743055249134625E-2</v>
      </c>
    </row>
    <row r="166" spans="1:9" s="32" customFormat="1" x14ac:dyDescent="0.3">
      <c r="A166"/>
      <c r="B166" s="97"/>
      <c r="E166" s="105">
        <v>45046</v>
      </c>
      <c r="F166" s="32">
        <v>787.05</v>
      </c>
      <c r="G166" s="106">
        <f t="shared" si="6"/>
        <v>1.2658396871923465E-2</v>
      </c>
      <c r="H166" s="107">
        <v>48186.15</v>
      </c>
      <c r="I166" s="108">
        <f t="shared" si="7"/>
        <v>7.7510602877695111E-3</v>
      </c>
    </row>
    <row r="167" spans="1:9" s="32" customFormat="1" x14ac:dyDescent="0.3">
      <c r="A167"/>
      <c r="B167" s="97"/>
      <c r="E167" s="105">
        <v>45039</v>
      </c>
      <c r="F167" s="32">
        <v>777.15</v>
      </c>
      <c r="G167" s="106">
        <f t="shared" si="6"/>
        <v>2.2380740286436624E-2</v>
      </c>
      <c r="H167" s="107">
        <v>47814.1</v>
      </c>
      <c r="I167" s="108">
        <f t="shared" si="7"/>
        <v>2.4225443250347155E-2</v>
      </c>
    </row>
    <row r="168" spans="1:9" s="32" customFormat="1" x14ac:dyDescent="0.3">
      <c r="A168"/>
      <c r="B168" s="97"/>
      <c r="E168" s="105">
        <v>45032</v>
      </c>
      <c r="F168" s="32">
        <v>759.95</v>
      </c>
      <c r="G168" s="106">
        <f t="shared" si="6"/>
        <v>-2.7595286893883075E-3</v>
      </c>
      <c r="H168" s="107">
        <v>46669.7</v>
      </c>
      <c r="I168" s="108">
        <f t="shared" si="7"/>
        <v>9.8567091786504121E-3</v>
      </c>
    </row>
    <row r="169" spans="1:9" s="32" customFormat="1" x14ac:dyDescent="0.3">
      <c r="A169"/>
      <c r="B169" s="97"/>
      <c r="E169" s="105">
        <v>45025</v>
      </c>
      <c r="F169" s="32">
        <v>762.05</v>
      </c>
      <c r="G169" s="106">
        <f t="shared" si="6"/>
        <v>7.3757331410144377E-3</v>
      </c>
      <c r="H169" s="107">
        <v>46211.95</v>
      </c>
      <c r="I169" s="108">
        <f t="shared" si="7"/>
        <v>2.2270107805699635E-3</v>
      </c>
    </row>
    <row r="170" spans="1:9" s="32" customFormat="1" x14ac:dyDescent="0.3">
      <c r="A170"/>
      <c r="B170" s="97"/>
      <c r="E170" s="105">
        <v>45018</v>
      </c>
      <c r="F170" s="32">
        <v>756.45</v>
      </c>
      <c r="G170" s="106">
        <f t="shared" si="6"/>
        <v>1.9831432886020331E-4</v>
      </c>
      <c r="H170" s="107">
        <v>46109.15</v>
      </c>
      <c r="I170" s="108">
        <f t="shared" si="7"/>
        <v>4.4395466882128677E-3</v>
      </c>
    </row>
    <row r="171" spans="1:9" s="32" customFormat="1" x14ac:dyDescent="0.3">
      <c r="A171"/>
      <c r="B171" s="97"/>
      <c r="E171" s="105">
        <v>45011</v>
      </c>
      <c r="F171" s="32">
        <v>756.3</v>
      </c>
      <c r="G171" s="106">
        <f t="shared" si="6"/>
        <v>-9.8023876238212664E-3</v>
      </c>
      <c r="H171" s="107">
        <v>45904.9</v>
      </c>
      <c r="I171" s="108">
        <f t="shared" si="7"/>
        <v>1.8576930177254477E-2</v>
      </c>
    </row>
    <row r="172" spans="1:9" s="32" customFormat="1" x14ac:dyDescent="0.3">
      <c r="A172"/>
      <c r="B172" s="97"/>
      <c r="E172" s="105">
        <v>45004</v>
      </c>
      <c r="F172" s="32">
        <v>763.75</v>
      </c>
      <c r="G172" s="106">
        <f t="shared" si="6"/>
        <v>-8.9938041069236498E-3</v>
      </c>
      <c r="H172" s="107">
        <v>45060</v>
      </c>
      <c r="I172" s="108">
        <f t="shared" si="7"/>
        <v>4.4863023055300294E-3</v>
      </c>
    </row>
    <row r="173" spans="1:9" s="32" customFormat="1" x14ac:dyDescent="0.3">
      <c r="A173"/>
      <c r="B173" s="97"/>
      <c r="E173" s="105">
        <v>44997</v>
      </c>
      <c r="F173" s="32">
        <v>770.65</v>
      </c>
      <c r="G173" s="106">
        <f t="shared" si="6"/>
        <v>3.1369952836427344E-2</v>
      </c>
      <c r="H173" s="107">
        <v>44858.3</v>
      </c>
      <c r="I173" s="108">
        <f t="shared" si="7"/>
        <v>-1.0565213881102821E-2</v>
      </c>
    </row>
    <row r="174" spans="1:9" s="32" customFormat="1" x14ac:dyDescent="0.3">
      <c r="A174"/>
      <c r="B174" s="97"/>
      <c r="E174" s="105">
        <v>44990</v>
      </c>
      <c r="F174" s="32">
        <v>746.85</v>
      </c>
      <c r="G174" s="106">
        <f t="shared" si="6"/>
        <v>-1.2177014423231531E-2</v>
      </c>
      <c r="H174" s="107">
        <v>45334.75</v>
      </c>
      <c r="I174" s="108">
        <f t="shared" si="7"/>
        <v>-1.6584985301885101E-3</v>
      </c>
    </row>
    <row r="175" spans="1:9" s="32" customFormat="1" x14ac:dyDescent="0.3">
      <c r="A175"/>
      <c r="B175" s="97"/>
      <c r="E175" s="105">
        <v>44983</v>
      </c>
      <c r="F175" s="32">
        <v>756</v>
      </c>
      <c r="G175" s="106">
        <f t="shared" si="6"/>
        <v>1.6807118316381191E-2</v>
      </c>
      <c r="H175" s="107">
        <v>45410</v>
      </c>
      <c r="I175" s="108">
        <f t="shared" si="7"/>
        <v>8.2615046144109583E-4</v>
      </c>
    </row>
    <row r="176" spans="1:9" s="32" customFormat="1" x14ac:dyDescent="0.3">
      <c r="A176"/>
      <c r="B176" s="97"/>
      <c r="E176" s="105">
        <v>44976</v>
      </c>
      <c r="F176" s="32">
        <v>743.4</v>
      </c>
      <c r="G176" s="106">
        <f t="shared" si="6"/>
        <v>-3.7491191240366567E-2</v>
      </c>
      <c r="H176" s="107">
        <v>45372.5</v>
      </c>
      <c r="I176" s="108">
        <f t="shared" si="7"/>
        <v>-5.3808358881759066E-3</v>
      </c>
    </row>
    <row r="177" spans="1:9" s="32" customFormat="1" x14ac:dyDescent="0.3">
      <c r="A177"/>
      <c r="B177" s="97"/>
      <c r="E177" s="105">
        <v>44969</v>
      </c>
      <c r="F177" s="32">
        <v>771.8</v>
      </c>
      <c r="G177" s="106">
        <f t="shared" si="6"/>
        <v>-1.0632571089740028E-2</v>
      </c>
      <c r="H177" s="107">
        <v>45617.3</v>
      </c>
      <c r="I177" s="108">
        <f t="shared" si="7"/>
        <v>2.836277248376155E-3</v>
      </c>
    </row>
    <row r="178" spans="1:9" s="32" customFormat="1" x14ac:dyDescent="0.3">
      <c r="A178"/>
      <c r="B178" s="97"/>
      <c r="E178" s="105">
        <v>44962</v>
      </c>
      <c r="F178" s="32">
        <v>780.05</v>
      </c>
      <c r="G178" s="106">
        <f t="shared" si="6"/>
        <v>1.4462128231556397E-2</v>
      </c>
      <c r="H178" s="107">
        <v>45488.1</v>
      </c>
      <c r="I178" s="108">
        <f t="shared" si="7"/>
        <v>-1.1999012034907327E-2</v>
      </c>
    </row>
    <row r="179" spans="1:9" s="32" customFormat="1" x14ac:dyDescent="0.3">
      <c r="A179"/>
      <c r="B179" s="97"/>
      <c r="E179" s="105">
        <v>44955</v>
      </c>
      <c r="F179" s="32">
        <v>768.85</v>
      </c>
      <c r="G179" s="106">
        <f t="shared" si="6"/>
        <v>2.2135425704871998E-3</v>
      </c>
      <c r="H179" s="107">
        <v>46037.2</v>
      </c>
      <c r="I179" s="108">
        <f t="shared" si="7"/>
        <v>3.426062115993319E-2</v>
      </c>
    </row>
    <row r="180" spans="1:9" s="32" customFormat="1" x14ac:dyDescent="0.3">
      <c r="A180"/>
      <c r="B180" s="97"/>
      <c r="E180" s="105">
        <v>44948</v>
      </c>
      <c r="F180" s="32">
        <v>767.15</v>
      </c>
      <c r="G180" s="106">
        <f t="shared" si="6"/>
        <v>-6.8997216564304839E-2</v>
      </c>
      <c r="H180" s="107">
        <v>44486.65</v>
      </c>
      <c r="I180" s="108">
        <f t="shared" si="7"/>
        <v>1.3283935740889985E-2</v>
      </c>
    </row>
    <row r="181" spans="1:9" s="32" customFormat="1" x14ac:dyDescent="0.3">
      <c r="A181"/>
      <c r="B181" s="97"/>
      <c r="E181" s="105">
        <v>44941</v>
      </c>
      <c r="F181" s="32">
        <v>821.95</v>
      </c>
      <c r="G181" s="106">
        <f t="shared" si="6"/>
        <v>-2.8839793650703809E-2</v>
      </c>
      <c r="H181" s="107">
        <v>43899.6</v>
      </c>
      <c r="I181" s="108">
        <f t="shared" si="7"/>
        <v>-1.2748251118696961E-3</v>
      </c>
    </row>
    <row r="182" spans="1:9" s="32" customFormat="1" x14ac:dyDescent="0.3">
      <c r="A182"/>
      <c r="B182" s="97"/>
      <c r="E182" s="105">
        <v>44934</v>
      </c>
      <c r="F182" s="32">
        <v>846</v>
      </c>
      <c r="G182" s="106">
        <f t="shared" si="6"/>
        <v>-1.2334958157951284E-2</v>
      </c>
      <c r="H182" s="107">
        <v>43955.6</v>
      </c>
      <c r="I182" s="108">
        <f t="shared" si="7"/>
        <v>-1.0348808446148369E-2</v>
      </c>
    </row>
    <row r="183" spans="1:9" s="32" customFormat="1" x14ac:dyDescent="0.3">
      <c r="A183"/>
      <c r="B183" s="97"/>
      <c r="E183" s="105">
        <v>44927</v>
      </c>
      <c r="F183" s="32">
        <v>856.5</v>
      </c>
      <c r="G183" s="106">
        <f t="shared" si="6"/>
        <v>-2.4279616009524527E-2</v>
      </c>
      <c r="H183" s="107">
        <v>44412.85</v>
      </c>
      <c r="I183" s="108">
        <f t="shared" si="7"/>
        <v>5.4501891995869288E-3</v>
      </c>
    </row>
    <row r="184" spans="1:9" s="32" customFormat="1" x14ac:dyDescent="0.3">
      <c r="A184"/>
      <c r="B184" s="97"/>
      <c r="E184" s="105">
        <v>44920</v>
      </c>
      <c r="F184" s="32">
        <v>877.55</v>
      </c>
      <c r="G184" s="106">
        <f t="shared" si="6"/>
        <v>3.767557830213914E-3</v>
      </c>
      <c r="H184" s="107">
        <v>44171.45</v>
      </c>
      <c r="I184" s="108">
        <f t="shared" si="7"/>
        <v>-3.2423108348149151E-3</v>
      </c>
    </row>
    <row r="185" spans="1:9" s="32" customFormat="1" x14ac:dyDescent="0.3">
      <c r="A185"/>
      <c r="B185" s="97"/>
      <c r="E185" s="105">
        <v>44913</v>
      </c>
      <c r="F185" s="32">
        <v>874.25</v>
      </c>
      <c r="G185" s="106">
        <f t="shared" si="6"/>
        <v>-3.3020408650363028E-2</v>
      </c>
      <c r="H185" s="107">
        <v>44314.9</v>
      </c>
      <c r="I185" s="108">
        <f t="shared" si="7"/>
        <v>-2.2444021392319668E-2</v>
      </c>
    </row>
    <row r="186" spans="1:9" s="32" customFormat="1" x14ac:dyDescent="0.3">
      <c r="A186"/>
      <c r="B186" s="97"/>
      <c r="E186" s="105">
        <v>44906</v>
      </c>
      <c r="F186" s="32">
        <v>903.6</v>
      </c>
      <c r="G186" s="106">
        <f t="shared" si="6"/>
        <v>-3.7363164412376484E-2</v>
      </c>
      <c r="H186" s="107">
        <v>45320.75</v>
      </c>
      <c r="I186" s="108">
        <f t="shared" si="7"/>
        <v>-1.8337805244229104E-2</v>
      </c>
    </row>
    <row r="187" spans="1:9" s="32" customFormat="1" x14ac:dyDescent="0.3">
      <c r="A187"/>
      <c r="B187" s="97"/>
      <c r="E187" s="105">
        <v>44899</v>
      </c>
      <c r="F187" s="32">
        <v>938</v>
      </c>
      <c r="G187" s="106">
        <f t="shared" si="6"/>
        <v>2.2413158430139172E-3</v>
      </c>
      <c r="H187" s="107">
        <v>46159.5</v>
      </c>
      <c r="I187" s="108">
        <f t="shared" si="7"/>
        <v>2.2019491459683682E-2</v>
      </c>
    </row>
    <row r="188" spans="1:9" s="32" customFormat="1" x14ac:dyDescent="0.3">
      <c r="A188"/>
      <c r="B188" s="97"/>
      <c r="E188" s="105">
        <v>44892</v>
      </c>
      <c r="F188" s="32">
        <v>935.9</v>
      </c>
      <c r="G188" s="106">
        <f t="shared" si="6"/>
        <v>5.101777434172438E-2</v>
      </c>
      <c r="H188" s="107">
        <v>45154.2</v>
      </c>
      <c r="I188" s="108">
        <f t="shared" si="7"/>
        <v>2.3564561161404183E-2</v>
      </c>
    </row>
    <row r="189" spans="1:9" s="32" customFormat="1" x14ac:dyDescent="0.3">
      <c r="A189"/>
      <c r="B189" s="97"/>
      <c r="E189" s="105">
        <v>44885</v>
      </c>
      <c r="F189" s="32">
        <v>889.35</v>
      </c>
      <c r="G189" s="106">
        <f t="shared" si="6"/>
        <v>1.7353276564293675E-2</v>
      </c>
      <c r="H189" s="107">
        <v>44102.6</v>
      </c>
      <c r="I189" s="108">
        <f t="shared" si="7"/>
        <v>8.0956986070852468E-3</v>
      </c>
    </row>
    <row r="190" spans="1:9" s="32" customFormat="1" x14ac:dyDescent="0.3">
      <c r="A190"/>
      <c r="B190" s="97"/>
      <c r="E190" s="105">
        <v>44878</v>
      </c>
      <c r="F190" s="32">
        <v>874.05</v>
      </c>
      <c r="G190" s="106">
        <f t="shared" si="6"/>
        <v>-1.2337062016111681E-2</v>
      </c>
      <c r="H190" s="107">
        <v>43747</v>
      </c>
      <c r="I190" s="108">
        <f t="shared" si="7"/>
        <v>-1.7526718227811149E-2</v>
      </c>
    </row>
    <row r="191" spans="1:9" s="32" customFormat="1" x14ac:dyDescent="0.3">
      <c r="A191"/>
      <c r="B191" s="97"/>
      <c r="E191" s="105">
        <v>44871</v>
      </c>
      <c r="F191" s="32">
        <v>884.9</v>
      </c>
      <c r="G191" s="106">
        <f t="shared" si="6"/>
        <v>5.0866138378784372E-4</v>
      </c>
      <c r="H191" s="107">
        <v>44520.5</v>
      </c>
      <c r="I191" s="108">
        <f t="shared" si="7"/>
        <v>2.4598436270019625E-4</v>
      </c>
    </row>
    <row r="192" spans="1:9" s="32" customFormat="1" x14ac:dyDescent="0.3">
      <c r="A192"/>
      <c r="B192" s="97"/>
      <c r="E192" s="105">
        <v>44864</v>
      </c>
      <c r="F192" s="32">
        <v>884.45</v>
      </c>
      <c r="G192" s="106">
        <f t="shared" si="6"/>
        <v>1.2744099202575241E-2</v>
      </c>
      <c r="H192" s="107">
        <v>44509.55</v>
      </c>
      <c r="I192" s="108">
        <f t="shared" si="7"/>
        <v>1.2785401227784142E-2</v>
      </c>
    </row>
    <row r="193" spans="1:9" s="32" customFormat="1" x14ac:dyDescent="0.3">
      <c r="A193"/>
      <c r="B193" s="97"/>
      <c r="E193" s="105">
        <v>44857</v>
      </c>
      <c r="F193" s="32">
        <v>873.25</v>
      </c>
      <c r="G193" s="106">
        <f t="shared" si="6"/>
        <v>6.2186103678855686E-2</v>
      </c>
      <c r="H193" s="107">
        <v>43944.1</v>
      </c>
      <c r="I193" s="108">
        <f t="shared" si="7"/>
        <v>-7.3708039911236376E-3</v>
      </c>
    </row>
    <row r="194" spans="1:9" s="32" customFormat="1" x14ac:dyDescent="0.3">
      <c r="A194"/>
      <c r="B194" s="97"/>
      <c r="E194" s="105">
        <v>44850</v>
      </c>
      <c r="F194" s="32">
        <v>820.6</v>
      </c>
      <c r="G194" s="106">
        <f t="shared" si="6"/>
        <v>-3.5277696096093041E-3</v>
      </c>
      <c r="H194" s="107">
        <v>44269.2</v>
      </c>
      <c r="I194" s="108">
        <f t="shared" si="7"/>
        <v>2.5536076959264339E-2</v>
      </c>
    </row>
    <row r="195" spans="1:9" s="32" customFormat="1" x14ac:dyDescent="0.3">
      <c r="A195"/>
      <c r="B195" s="97"/>
      <c r="E195" s="105">
        <v>44843</v>
      </c>
      <c r="F195" s="32">
        <v>823.5</v>
      </c>
      <c r="G195" s="106">
        <f t="shared" si="6"/>
        <v>-6.0031567677505331E-2</v>
      </c>
      <c r="H195" s="107">
        <v>43153.05</v>
      </c>
      <c r="I195" s="108">
        <f t="shared" si="7"/>
        <v>-1.5184325564095059E-2</v>
      </c>
    </row>
    <row r="196" spans="1:9" s="32" customFormat="1" x14ac:dyDescent="0.3">
      <c r="A196"/>
      <c r="B196" s="97"/>
      <c r="E196" s="105">
        <v>44836</v>
      </c>
      <c r="F196" s="32">
        <v>874.45</v>
      </c>
      <c r="G196" s="106">
        <f t="shared" si="6"/>
        <v>3.7458871973882417E-2</v>
      </c>
      <c r="H196" s="107">
        <v>43813.3</v>
      </c>
      <c r="I196" s="108">
        <f t="shared" si="7"/>
        <v>-1.3429289337345152E-2</v>
      </c>
    </row>
    <row r="197" spans="1:9" s="32" customFormat="1" x14ac:dyDescent="0.3">
      <c r="A197"/>
      <c r="B197" s="97"/>
      <c r="E197" s="105">
        <v>44829</v>
      </c>
      <c r="F197" s="32">
        <v>842.3</v>
      </c>
      <c r="G197" s="106">
        <f t="shared" si="6"/>
        <v>-3.3850103915923177E-2</v>
      </c>
      <c r="H197" s="107">
        <v>44405.65</v>
      </c>
      <c r="I197" s="108">
        <f t="shared" si="7"/>
        <v>-1.0060548465731997E-2</v>
      </c>
    </row>
    <row r="198" spans="1:9" s="32" customFormat="1" x14ac:dyDescent="0.3">
      <c r="A198"/>
      <c r="B198" s="97"/>
      <c r="E198" s="105">
        <v>44822</v>
      </c>
      <c r="F198" s="32">
        <v>871.3</v>
      </c>
      <c r="G198" s="106">
        <f t="shared" ref="G198:G261" si="8">LN(F198/F199)</f>
        <v>3.8848924132380558E-2</v>
      </c>
      <c r="H198" s="107">
        <v>44854.65</v>
      </c>
      <c r="I198" s="108">
        <f t="shared" ref="I198:I261" si="9">LN(H198/H199)</f>
        <v>3.7756920174369088E-2</v>
      </c>
    </row>
    <row r="199" spans="1:9" s="32" customFormat="1" x14ac:dyDescent="0.3">
      <c r="A199"/>
      <c r="B199" s="97"/>
      <c r="E199" s="105">
        <v>44815</v>
      </c>
      <c r="F199" s="32">
        <v>838.1</v>
      </c>
      <c r="G199" s="106">
        <f t="shared" si="8"/>
        <v>3.6389740249042839E-2</v>
      </c>
      <c r="H199" s="107">
        <v>43192.65</v>
      </c>
      <c r="I199" s="108">
        <f t="shared" si="9"/>
        <v>-1.4823835873939472E-2</v>
      </c>
    </row>
    <row r="200" spans="1:9" s="32" customFormat="1" x14ac:dyDescent="0.3">
      <c r="A200"/>
      <c r="B200" s="97"/>
      <c r="E200" s="105">
        <v>44808</v>
      </c>
      <c r="F200" s="32">
        <v>808.15</v>
      </c>
      <c r="G200" s="106">
        <f t="shared" si="8"/>
        <v>-1.9786856463364189E-2</v>
      </c>
      <c r="H200" s="107">
        <v>43837.7</v>
      </c>
      <c r="I200" s="108">
        <f t="shared" si="9"/>
        <v>3.911814986104982E-3</v>
      </c>
    </row>
    <row r="201" spans="1:9" s="32" customFormat="1" x14ac:dyDescent="0.3">
      <c r="A201"/>
      <c r="B201" s="97"/>
      <c r="E201" s="105">
        <v>44801</v>
      </c>
      <c r="F201" s="32">
        <v>824.3</v>
      </c>
      <c r="G201" s="106">
        <f t="shared" si="8"/>
        <v>1.6698146323103697E-2</v>
      </c>
      <c r="H201" s="107">
        <v>43666.55</v>
      </c>
      <c r="I201" s="108">
        <f t="shared" si="9"/>
        <v>2.076999075445143E-2</v>
      </c>
    </row>
    <row r="202" spans="1:9" s="32" customFormat="1" x14ac:dyDescent="0.3">
      <c r="A202"/>
      <c r="B202" s="97"/>
      <c r="E202" s="105">
        <v>44794</v>
      </c>
      <c r="F202" s="32">
        <v>810.65</v>
      </c>
      <c r="G202" s="106">
        <f t="shared" si="8"/>
        <v>2.3275003181652345E-2</v>
      </c>
      <c r="H202" s="107">
        <v>42768.95</v>
      </c>
      <c r="I202" s="108">
        <f t="shared" si="9"/>
        <v>-4.1160051249314409E-3</v>
      </c>
    </row>
    <row r="203" spans="1:9" s="32" customFormat="1" x14ac:dyDescent="0.3">
      <c r="A203"/>
      <c r="B203" s="97"/>
      <c r="E203" s="105">
        <v>44787</v>
      </c>
      <c r="F203" s="32">
        <v>792</v>
      </c>
      <c r="G203" s="106">
        <f t="shared" si="8"/>
        <v>4.7460933892557594E-3</v>
      </c>
      <c r="H203" s="107">
        <v>42945.35</v>
      </c>
      <c r="I203" s="108">
        <f t="shared" si="9"/>
        <v>1.1429512151480577E-2</v>
      </c>
    </row>
    <row r="204" spans="1:9" s="32" customFormat="1" x14ac:dyDescent="0.3">
      <c r="A204"/>
      <c r="B204" s="97"/>
      <c r="E204" s="105">
        <v>44780</v>
      </c>
      <c r="F204" s="32">
        <v>788.25</v>
      </c>
      <c r="G204" s="106">
        <f t="shared" si="8"/>
        <v>2.2225759268376336E-3</v>
      </c>
      <c r="H204" s="107">
        <v>42457.3</v>
      </c>
      <c r="I204" s="108">
        <f t="shared" si="9"/>
        <v>-1.10929813845602E-2</v>
      </c>
    </row>
    <row r="205" spans="1:9" s="32" customFormat="1" x14ac:dyDescent="0.3">
      <c r="A205"/>
      <c r="B205" s="97"/>
      <c r="E205" s="105">
        <v>44773</v>
      </c>
      <c r="F205" s="32">
        <v>786.5</v>
      </c>
      <c r="G205" s="106">
        <f t="shared" si="8"/>
        <v>9.581676627584329E-3</v>
      </c>
      <c r="H205" s="107">
        <v>42930.9</v>
      </c>
      <c r="I205" s="108">
        <f t="shared" si="9"/>
        <v>1.0384284991264077E-2</v>
      </c>
    </row>
    <row r="206" spans="1:9" s="32" customFormat="1" x14ac:dyDescent="0.3">
      <c r="A206"/>
      <c r="B206" s="97"/>
      <c r="E206" s="105">
        <v>44766</v>
      </c>
      <c r="F206" s="32">
        <v>779</v>
      </c>
      <c r="G206" s="106">
        <f t="shared" si="8"/>
        <v>-8.0082205264188577E-2</v>
      </c>
      <c r="H206" s="107">
        <v>42487.4</v>
      </c>
      <c r="I206" s="108">
        <f t="shared" si="9"/>
        <v>-3.6121833334580236E-4</v>
      </c>
    </row>
    <row r="207" spans="1:9" s="32" customFormat="1" x14ac:dyDescent="0.3">
      <c r="A207"/>
      <c r="B207" s="97"/>
      <c r="E207" s="105">
        <v>44759</v>
      </c>
      <c r="F207" s="32">
        <v>843.95</v>
      </c>
      <c r="G207" s="106">
        <f t="shared" si="8"/>
        <v>2.3983402678197627E-2</v>
      </c>
      <c r="H207" s="107">
        <v>42502.75</v>
      </c>
      <c r="I207" s="108">
        <f t="shared" si="9"/>
        <v>2.3904268563452472E-2</v>
      </c>
    </row>
    <row r="208" spans="1:9" s="32" customFormat="1" x14ac:dyDescent="0.3">
      <c r="A208"/>
      <c r="B208" s="97"/>
      <c r="E208" s="105">
        <v>44752</v>
      </c>
      <c r="F208" s="32">
        <v>823.95</v>
      </c>
      <c r="G208" s="106">
        <f t="shared" si="8"/>
        <v>1.2088059279215742E-2</v>
      </c>
      <c r="H208" s="107">
        <v>41498.800000000003</v>
      </c>
      <c r="I208" s="108">
        <f t="shared" si="9"/>
        <v>1.3917279181904047E-2</v>
      </c>
    </row>
    <row r="209" spans="1:9" s="32" customFormat="1" x14ac:dyDescent="0.3">
      <c r="A209"/>
      <c r="B209" s="97"/>
      <c r="E209" s="105">
        <v>44745</v>
      </c>
      <c r="F209" s="32">
        <v>814.05</v>
      </c>
      <c r="G209" s="106">
        <f t="shared" si="8"/>
        <v>3.1508985889097944E-2</v>
      </c>
      <c r="H209" s="107">
        <v>40925.25</v>
      </c>
      <c r="I209" s="108">
        <f t="shared" si="9"/>
        <v>5.5239896267057532E-2</v>
      </c>
    </row>
    <row r="210" spans="1:9" s="32" customFormat="1" x14ac:dyDescent="0.3">
      <c r="A210"/>
      <c r="B210" s="97"/>
      <c r="E210" s="105">
        <v>44738</v>
      </c>
      <c r="F210" s="32">
        <v>788.8</v>
      </c>
      <c r="G210" s="106">
        <f t="shared" si="8"/>
        <v>3.5419630001684174E-2</v>
      </c>
      <c r="H210" s="107">
        <v>38725.85</v>
      </c>
      <c r="I210" s="108">
        <f t="shared" si="9"/>
        <v>2.4757913482817157E-2</v>
      </c>
    </row>
    <row r="211" spans="1:9" s="32" customFormat="1" x14ac:dyDescent="0.3">
      <c r="A211"/>
      <c r="B211" s="97"/>
      <c r="E211" s="105">
        <v>44731</v>
      </c>
      <c r="F211" s="32">
        <v>761.35</v>
      </c>
      <c r="G211" s="106">
        <f t="shared" si="8"/>
        <v>3.8971187578898607E-2</v>
      </c>
      <c r="H211" s="107">
        <v>37778.85</v>
      </c>
      <c r="I211" s="108">
        <f t="shared" si="9"/>
        <v>4.0908742144255848E-2</v>
      </c>
    </row>
    <row r="212" spans="1:9" s="32" customFormat="1" x14ac:dyDescent="0.3">
      <c r="A212"/>
      <c r="B212" s="97"/>
      <c r="E212" s="105">
        <v>44724</v>
      </c>
      <c r="F212" s="32">
        <v>732.25</v>
      </c>
      <c r="G212" s="106">
        <f t="shared" si="8"/>
        <v>-7.1280000228891652E-2</v>
      </c>
      <c r="H212" s="107">
        <v>36264.550000000003</v>
      </c>
      <c r="I212" s="108">
        <f t="shared" si="9"/>
        <v>-3.1597109734485651E-2</v>
      </c>
    </row>
    <row r="213" spans="1:9" s="32" customFormat="1" x14ac:dyDescent="0.3">
      <c r="A213"/>
      <c r="B213" s="97"/>
      <c r="E213" s="105">
        <v>44717</v>
      </c>
      <c r="F213" s="32">
        <v>786.35</v>
      </c>
      <c r="G213" s="106">
        <f t="shared" si="8"/>
        <v>-2.5549866006194306E-2</v>
      </c>
      <c r="H213" s="107">
        <v>37428.699999999997</v>
      </c>
      <c r="I213" s="108">
        <f t="shared" si="9"/>
        <v>-2.2330411930353945E-2</v>
      </c>
    </row>
    <row r="214" spans="1:9" s="32" customFormat="1" x14ac:dyDescent="0.3">
      <c r="A214"/>
      <c r="B214" s="97"/>
      <c r="E214" s="105">
        <v>44710</v>
      </c>
      <c r="F214" s="32">
        <v>806.7</v>
      </c>
      <c r="G214" s="106">
        <f t="shared" si="8"/>
        <v>3.6482430221281968E-2</v>
      </c>
      <c r="H214" s="107">
        <v>38273.9</v>
      </c>
      <c r="I214" s="108">
        <f t="shared" si="9"/>
        <v>8.1550935951536785E-4</v>
      </c>
    </row>
    <row r="215" spans="1:9" s="32" customFormat="1" x14ac:dyDescent="0.3">
      <c r="A215"/>
      <c r="B215" s="97"/>
      <c r="E215" s="105">
        <v>44703</v>
      </c>
      <c r="F215" s="32">
        <v>777.8</v>
      </c>
      <c r="G215" s="106">
        <f t="shared" si="8"/>
        <v>-2.6641179820013263E-2</v>
      </c>
      <c r="H215" s="107">
        <v>38242.699999999997</v>
      </c>
      <c r="I215" s="108">
        <f t="shared" si="9"/>
        <v>-7.9087209105983096E-3</v>
      </c>
    </row>
    <row r="216" spans="1:9" s="32" customFormat="1" x14ac:dyDescent="0.3">
      <c r="A216"/>
      <c r="B216" s="97"/>
      <c r="E216" s="105">
        <v>44696</v>
      </c>
      <c r="F216" s="32">
        <v>798.8</v>
      </c>
      <c r="G216" s="106">
        <f t="shared" si="8"/>
        <v>-2.9298669523769194E-2</v>
      </c>
      <c r="H216" s="107">
        <v>38546.35</v>
      </c>
      <c r="I216" s="108">
        <f t="shared" si="9"/>
        <v>4.3998161380828328E-2</v>
      </c>
    </row>
    <row r="217" spans="1:9" s="32" customFormat="1" x14ac:dyDescent="0.3">
      <c r="A217"/>
      <c r="B217" s="97"/>
      <c r="E217" s="105">
        <v>44689</v>
      </c>
      <c r="F217" s="32">
        <v>822.55</v>
      </c>
      <c r="G217" s="106">
        <f t="shared" si="8"/>
        <v>6.2806999352523658E-3</v>
      </c>
      <c r="H217" s="107">
        <v>36887.15</v>
      </c>
      <c r="I217" s="108">
        <f t="shared" si="9"/>
        <v>-1.0574960902073691E-2</v>
      </c>
    </row>
    <row r="218" spans="1:9" s="32" customFormat="1" x14ac:dyDescent="0.3">
      <c r="A218"/>
      <c r="B218" s="97"/>
      <c r="E218" s="105">
        <v>44682</v>
      </c>
      <c r="F218" s="32">
        <v>817.4</v>
      </c>
      <c r="G218" s="106">
        <f t="shared" si="8"/>
        <v>-5.4112292563411067E-2</v>
      </c>
      <c r="H218" s="107">
        <v>37279.300000000003</v>
      </c>
      <c r="I218" s="108">
        <f t="shared" si="9"/>
        <v>-2.4505935638154699E-2</v>
      </c>
    </row>
    <row r="219" spans="1:9" s="32" customFormat="1" x14ac:dyDescent="0.3">
      <c r="A219"/>
      <c r="B219" s="97"/>
      <c r="E219" s="105">
        <v>44675</v>
      </c>
      <c r="F219" s="32">
        <v>862.85</v>
      </c>
      <c r="G219" s="106">
        <f t="shared" si="8"/>
        <v>-1.0777891715078225E-2</v>
      </c>
      <c r="H219" s="107">
        <v>38204.15</v>
      </c>
      <c r="I219" s="108">
        <f t="shared" si="9"/>
        <v>1.1284727726740558E-2</v>
      </c>
    </row>
    <row r="220" spans="1:9" s="32" customFormat="1" x14ac:dyDescent="0.3">
      <c r="A220"/>
      <c r="B220" s="97"/>
      <c r="E220" s="105">
        <v>44668</v>
      </c>
      <c r="F220" s="32">
        <v>872.2</v>
      </c>
      <c r="G220" s="106">
        <f t="shared" si="8"/>
        <v>-2.4631089789163035E-2</v>
      </c>
      <c r="H220" s="107">
        <v>37775.449999999997</v>
      </c>
      <c r="I220" s="108">
        <f t="shared" si="9"/>
        <v>-1.0950938648230579E-2</v>
      </c>
    </row>
    <row r="221" spans="1:9" s="32" customFormat="1" x14ac:dyDescent="0.3">
      <c r="A221"/>
      <c r="B221" s="97"/>
      <c r="E221" s="105">
        <v>44661</v>
      </c>
      <c r="F221" s="32">
        <v>893.95</v>
      </c>
      <c r="G221" s="106">
        <f t="shared" si="8"/>
        <v>-1.0183444058923949E-2</v>
      </c>
      <c r="H221" s="107">
        <v>38191.4</v>
      </c>
      <c r="I221" s="108">
        <f t="shared" si="9"/>
        <v>-3.430745823401974E-3</v>
      </c>
    </row>
    <row r="222" spans="1:9" s="32" customFormat="1" x14ac:dyDescent="0.3">
      <c r="A222"/>
      <c r="B222" s="97"/>
      <c r="E222" s="105">
        <v>44654</v>
      </c>
      <c r="F222" s="32">
        <v>903.1</v>
      </c>
      <c r="G222" s="106">
        <f t="shared" si="8"/>
        <v>4.105414920146001E-3</v>
      </c>
      <c r="H222" s="107">
        <v>38322.65</v>
      </c>
      <c r="I222" s="108">
        <f t="shared" si="9"/>
        <v>4.29333422584455E-2</v>
      </c>
    </row>
    <row r="223" spans="1:9" s="32" customFormat="1" x14ac:dyDescent="0.3">
      <c r="A223"/>
      <c r="B223" s="97"/>
      <c r="E223" s="105">
        <v>44647</v>
      </c>
      <c r="F223" s="32">
        <v>899.4</v>
      </c>
      <c r="G223" s="106">
        <f t="shared" si="8"/>
        <v>1.3657438300449659E-2</v>
      </c>
      <c r="H223" s="107">
        <v>36712.15</v>
      </c>
      <c r="I223" s="108">
        <f t="shared" si="9"/>
        <v>3.2934426643394334E-2</v>
      </c>
    </row>
    <row r="224" spans="1:9" s="32" customFormat="1" x14ac:dyDescent="0.3">
      <c r="A224"/>
      <c r="B224" s="97"/>
      <c r="E224" s="105">
        <v>44640</v>
      </c>
      <c r="F224" s="32">
        <v>887.2</v>
      </c>
      <c r="G224" s="106">
        <f t="shared" si="8"/>
        <v>-3.5813983908832669E-2</v>
      </c>
      <c r="H224" s="107">
        <v>35522.75</v>
      </c>
      <c r="I224" s="108">
        <f t="shared" si="9"/>
        <v>-3.4854289645219992E-2</v>
      </c>
    </row>
    <row r="225" spans="1:9" s="32" customFormat="1" x14ac:dyDescent="0.3">
      <c r="A225"/>
      <c r="B225" s="97"/>
      <c r="E225" s="105">
        <v>44633</v>
      </c>
      <c r="F225" s="32">
        <v>919.55</v>
      </c>
      <c r="G225" s="106">
        <f t="shared" si="8"/>
        <v>7.6473964953438681E-2</v>
      </c>
      <c r="H225" s="107">
        <v>36782.699999999997</v>
      </c>
      <c r="I225" s="108">
        <f t="shared" si="9"/>
        <v>3.2298634608553832E-2</v>
      </c>
    </row>
    <row r="226" spans="1:9" s="32" customFormat="1" x14ac:dyDescent="0.3">
      <c r="A226"/>
      <c r="B226" s="97"/>
      <c r="E226" s="105">
        <v>44626</v>
      </c>
      <c r="F226" s="32">
        <v>851.85</v>
      </c>
      <c r="G226" s="106">
        <f t="shared" si="8"/>
        <v>3.1057841539561541E-2</v>
      </c>
      <c r="H226" s="107">
        <v>35613.65</v>
      </c>
      <c r="I226" s="108">
        <f t="shared" si="9"/>
        <v>2.80707197454464E-2</v>
      </c>
    </row>
    <row r="227" spans="1:9" s="32" customFormat="1" x14ac:dyDescent="0.3">
      <c r="A227"/>
      <c r="B227" s="97"/>
      <c r="E227" s="105">
        <v>44619</v>
      </c>
      <c r="F227" s="32">
        <v>825.8</v>
      </c>
      <c r="G227" s="106">
        <f t="shared" si="8"/>
        <v>-6.3626110587988685E-2</v>
      </c>
      <c r="H227" s="107">
        <v>34627.85</v>
      </c>
      <c r="I227" s="108">
        <f t="shared" si="9"/>
        <v>-1.9013621917318542E-2</v>
      </c>
    </row>
    <row r="228" spans="1:9" s="32" customFormat="1" x14ac:dyDescent="0.3">
      <c r="A228"/>
      <c r="B228" s="97"/>
      <c r="E228" s="105">
        <v>44612</v>
      </c>
      <c r="F228" s="32">
        <v>880.05</v>
      </c>
      <c r="G228" s="106">
        <f t="shared" si="8"/>
        <v>5.1409921356323385E-2</v>
      </c>
      <c r="H228" s="107">
        <v>35292.550000000003</v>
      </c>
      <c r="I228" s="108">
        <f t="shared" si="9"/>
        <v>-3.3604750008994773E-2</v>
      </c>
    </row>
    <row r="229" spans="1:9" s="32" customFormat="1" x14ac:dyDescent="0.3">
      <c r="A229"/>
      <c r="B229" s="97"/>
      <c r="E229" s="105">
        <v>44605</v>
      </c>
      <c r="F229" s="32">
        <v>835.95</v>
      </c>
      <c r="G229" s="106">
        <f t="shared" si="8"/>
        <v>-9.9390789917990496E-3</v>
      </c>
      <c r="H229" s="107">
        <v>36498.699999999997</v>
      </c>
      <c r="I229" s="108">
        <f t="shared" si="9"/>
        <v>-4.7273334646026812E-3</v>
      </c>
    </row>
    <row r="230" spans="1:9" s="32" customFormat="1" x14ac:dyDescent="0.3">
      <c r="A230"/>
      <c r="B230" s="97"/>
      <c r="E230" s="105">
        <v>44598</v>
      </c>
      <c r="F230" s="32">
        <v>844.3</v>
      </c>
      <c r="G230" s="106">
        <f t="shared" si="8"/>
        <v>-4.7249240495833268E-2</v>
      </c>
      <c r="H230" s="107">
        <v>36671.65</v>
      </c>
      <c r="I230" s="108">
        <f t="shared" si="9"/>
        <v>-2.2560930911699074E-2</v>
      </c>
    </row>
    <row r="231" spans="1:9" s="32" customFormat="1" x14ac:dyDescent="0.3">
      <c r="A231"/>
      <c r="B231" s="97"/>
      <c r="E231" s="105">
        <v>44591</v>
      </c>
      <c r="F231" s="32">
        <v>885.15</v>
      </c>
      <c r="G231" s="106">
        <f t="shared" si="8"/>
        <v>3.4714134476685421E-2</v>
      </c>
      <c r="H231" s="107">
        <v>37508.400000000001</v>
      </c>
      <c r="I231" s="108">
        <f t="shared" si="9"/>
        <v>3.5829045722080309E-2</v>
      </c>
    </row>
    <row r="232" spans="1:9" s="32" customFormat="1" x14ac:dyDescent="0.3">
      <c r="A232"/>
      <c r="B232" s="97"/>
      <c r="E232" s="105">
        <v>44584</v>
      </c>
      <c r="F232" s="32">
        <v>854.95</v>
      </c>
      <c r="G232" s="106">
        <f t="shared" si="8"/>
        <v>-5.0573695225867757E-2</v>
      </c>
      <c r="H232" s="107">
        <v>36188.300000000003</v>
      </c>
      <c r="I232" s="108">
        <f t="shared" si="9"/>
        <v>-1.7112465057105005E-2</v>
      </c>
    </row>
    <row r="233" spans="1:9" s="32" customFormat="1" x14ac:dyDescent="0.3">
      <c r="A233"/>
      <c r="B233" s="97"/>
      <c r="E233" s="105">
        <v>44577</v>
      </c>
      <c r="F233" s="32">
        <v>899.3</v>
      </c>
      <c r="G233" s="106">
        <f t="shared" si="8"/>
        <v>-4.8721325191716645E-2</v>
      </c>
      <c r="H233" s="107">
        <v>36812.9</v>
      </c>
      <c r="I233" s="108">
        <f t="shared" si="9"/>
        <v>-2.6883966263799582E-2</v>
      </c>
    </row>
    <row r="234" spans="1:9" s="32" customFormat="1" x14ac:dyDescent="0.3">
      <c r="A234"/>
      <c r="B234" s="97"/>
      <c r="E234" s="105">
        <v>44570</v>
      </c>
      <c r="F234" s="32">
        <v>944.2</v>
      </c>
      <c r="G234" s="106">
        <f t="shared" si="8"/>
        <v>6.4185550889298129E-2</v>
      </c>
      <c r="H234" s="107">
        <v>37816</v>
      </c>
      <c r="I234" s="108">
        <f t="shared" si="9"/>
        <v>-1.2803836821531816E-3</v>
      </c>
    </row>
    <row r="235" spans="1:9" s="32" customFormat="1" x14ac:dyDescent="0.3">
      <c r="A235"/>
      <c r="B235" s="97"/>
      <c r="E235" s="105">
        <v>44563</v>
      </c>
      <c r="F235" s="32">
        <v>885.5</v>
      </c>
      <c r="G235" s="106">
        <f t="shared" si="8"/>
        <v>-1.4295968770739881E-2</v>
      </c>
      <c r="H235" s="107">
        <v>37864.449999999997</v>
      </c>
      <c r="I235" s="108">
        <f t="shared" si="9"/>
        <v>7.5420136835984567E-3</v>
      </c>
    </row>
    <row r="236" spans="1:9" s="32" customFormat="1" x14ac:dyDescent="0.3">
      <c r="A236"/>
      <c r="B236" s="97"/>
      <c r="E236" s="105">
        <v>44556</v>
      </c>
      <c r="F236" s="32">
        <v>898.25</v>
      </c>
      <c r="G236" s="106">
        <f t="shared" si="8"/>
        <v>1.3336519533834875E-2</v>
      </c>
      <c r="H236" s="107">
        <v>37579.949999999997</v>
      </c>
      <c r="I236" s="108">
        <f t="shared" si="9"/>
        <v>1.7886553125563122E-2</v>
      </c>
    </row>
    <row r="237" spans="1:9" s="32" customFormat="1" x14ac:dyDescent="0.3">
      <c r="A237"/>
      <c r="B237" s="97"/>
      <c r="E237" s="105">
        <v>44549</v>
      </c>
      <c r="F237" s="32">
        <v>886.35</v>
      </c>
      <c r="G237" s="106">
        <f t="shared" si="8"/>
        <v>4.0132320772119949E-3</v>
      </c>
      <c r="H237" s="107">
        <v>36913.75</v>
      </c>
      <c r="I237" s="108">
        <f t="shared" si="9"/>
        <v>1.2971924220433575E-2</v>
      </c>
    </row>
    <row r="238" spans="1:9" s="32" customFormat="1" x14ac:dyDescent="0.3">
      <c r="A238"/>
      <c r="B238" s="97"/>
      <c r="E238" s="105">
        <v>44542</v>
      </c>
      <c r="F238" s="32">
        <v>882.8</v>
      </c>
      <c r="G238" s="106">
        <f t="shared" si="8"/>
        <v>-4.7019334872403194E-2</v>
      </c>
      <c r="H238" s="107">
        <v>36438</v>
      </c>
      <c r="I238" s="108">
        <f t="shared" si="9"/>
        <v>-4.6949731835192771E-2</v>
      </c>
    </row>
    <row r="239" spans="1:9" s="32" customFormat="1" x14ac:dyDescent="0.3">
      <c r="A239"/>
      <c r="B239" s="97"/>
      <c r="E239" s="105">
        <v>44535</v>
      </c>
      <c r="F239" s="32">
        <v>925.3</v>
      </c>
      <c r="G239" s="106">
        <f t="shared" si="8"/>
        <v>3.3126707257702413E-2</v>
      </c>
      <c r="H239" s="107">
        <v>38189.550000000003</v>
      </c>
      <c r="I239" s="108">
        <f t="shared" si="9"/>
        <v>1.8271652952586585E-2</v>
      </c>
    </row>
    <row r="240" spans="1:9" s="32" customFormat="1" x14ac:dyDescent="0.3">
      <c r="A240"/>
      <c r="B240" s="97"/>
      <c r="E240" s="105">
        <v>44528</v>
      </c>
      <c r="F240" s="32">
        <v>895.15</v>
      </c>
      <c r="G240" s="106">
        <f t="shared" si="8"/>
        <v>1.0613009181744666E-2</v>
      </c>
      <c r="H240" s="107">
        <v>37498.1</v>
      </c>
      <c r="I240" s="108">
        <f t="shared" si="9"/>
        <v>-1.3072115019865801E-3</v>
      </c>
    </row>
    <row r="241" spans="1:9" s="32" customFormat="1" x14ac:dyDescent="0.3">
      <c r="A241"/>
      <c r="B241" s="97"/>
      <c r="E241" s="105">
        <v>44521</v>
      </c>
      <c r="F241" s="32">
        <v>885.7</v>
      </c>
      <c r="G241" s="106">
        <f t="shared" si="8"/>
        <v>-3.8049723576845898E-2</v>
      </c>
      <c r="H241" s="107">
        <v>37547.15</v>
      </c>
      <c r="I241" s="108">
        <f t="shared" si="9"/>
        <v>-3.4535220546336419E-2</v>
      </c>
    </row>
    <row r="242" spans="1:9" s="32" customFormat="1" x14ac:dyDescent="0.3">
      <c r="A242"/>
      <c r="B242" s="97"/>
      <c r="E242" s="105">
        <v>44514</v>
      </c>
      <c r="F242" s="32">
        <v>920.05</v>
      </c>
      <c r="G242" s="106">
        <f t="shared" si="8"/>
        <v>-4.1045870333147647E-2</v>
      </c>
      <c r="H242" s="107">
        <v>38866.5</v>
      </c>
      <c r="I242" s="108">
        <f t="shared" si="9"/>
        <v>-1.1892633434014478E-3</v>
      </c>
    </row>
    <row r="243" spans="1:9" s="32" customFormat="1" x14ac:dyDescent="0.3">
      <c r="A243"/>
      <c r="B243" s="97"/>
      <c r="E243" s="105">
        <v>44507</v>
      </c>
      <c r="F243" s="32">
        <v>958.6</v>
      </c>
      <c r="G243" s="106">
        <f t="shared" si="8"/>
        <v>-1.819359672751622E-2</v>
      </c>
      <c r="H243" s="107">
        <v>38912.75</v>
      </c>
      <c r="I243" s="108">
        <f t="shared" si="9"/>
        <v>5.2214125197983588E-3</v>
      </c>
    </row>
    <row r="244" spans="1:9" s="32" customFormat="1" x14ac:dyDescent="0.3">
      <c r="A244"/>
      <c r="B244" s="97"/>
      <c r="E244" s="105">
        <v>44500</v>
      </c>
      <c r="F244" s="32">
        <v>976.2</v>
      </c>
      <c r="G244" s="106">
        <f t="shared" si="8"/>
        <v>2.999887037467586E-2</v>
      </c>
      <c r="H244" s="107">
        <v>38710.1</v>
      </c>
      <c r="I244" s="108">
        <f t="shared" si="9"/>
        <v>1.2686665540377942E-2</v>
      </c>
    </row>
    <row r="245" spans="1:9" s="32" customFormat="1" x14ac:dyDescent="0.3">
      <c r="A245"/>
      <c r="B245" s="97"/>
      <c r="E245" s="105">
        <v>44493</v>
      </c>
      <c r="F245" s="32">
        <v>947.35</v>
      </c>
      <c r="G245" s="106">
        <f t="shared" si="8"/>
        <v>0.12755512198543159</v>
      </c>
      <c r="H245" s="107">
        <v>38222.1</v>
      </c>
      <c r="I245" s="108">
        <f t="shared" si="9"/>
        <v>-1.6932343433982776E-2</v>
      </c>
    </row>
    <row r="246" spans="1:9" s="32" customFormat="1" x14ac:dyDescent="0.3">
      <c r="A246"/>
      <c r="B246" s="97"/>
      <c r="E246" s="105">
        <v>44486</v>
      </c>
      <c r="F246" s="32">
        <v>833.9</v>
      </c>
      <c r="G246" s="106">
        <f t="shared" si="8"/>
        <v>-6.3533699408868452E-2</v>
      </c>
      <c r="H246" s="107">
        <v>38874.800000000003</v>
      </c>
      <c r="I246" s="108">
        <f t="shared" si="9"/>
        <v>-6.238377869744284E-2</v>
      </c>
    </row>
    <row r="247" spans="1:9" s="32" customFormat="1" x14ac:dyDescent="0.3">
      <c r="A247"/>
      <c r="B247" s="97"/>
      <c r="E247" s="105">
        <v>44479</v>
      </c>
      <c r="F247" s="32">
        <v>888.6</v>
      </c>
      <c r="G247" s="106">
        <f t="shared" si="8"/>
        <v>-2.8566239818833872E-2</v>
      </c>
      <c r="H247" s="107">
        <v>41377.199999999997</v>
      </c>
      <c r="I247" s="108">
        <f t="shared" si="9"/>
        <v>3.4016814196200271E-2</v>
      </c>
    </row>
    <row r="248" spans="1:9" s="32" customFormat="1" x14ac:dyDescent="0.3">
      <c r="A248"/>
      <c r="B248" s="97"/>
      <c r="E248" s="105">
        <v>44472</v>
      </c>
      <c r="F248" s="32">
        <v>914.35</v>
      </c>
      <c r="G248" s="106">
        <f t="shared" si="8"/>
        <v>5.5310528017984674E-2</v>
      </c>
      <c r="H248" s="107">
        <v>39993.35</v>
      </c>
      <c r="I248" s="108">
        <f t="shared" si="9"/>
        <v>-1.0091841892636177E-2</v>
      </c>
    </row>
    <row r="249" spans="1:9" s="32" customFormat="1" x14ac:dyDescent="0.3">
      <c r="A249"/>
      <c r="B249" s="97"/>
      <c r="E249" s="105">
        <v>44465</v>
      </c>
      <c r="F249" s="32">
        <v>865.15</v>
      </c>
      <c r="G249" s="106">
        <f t="shared" si="8"/>
        <v>4.425213241130712E-2</v>
      </c>
      <c r="H249" s="107">
        <v>40399</v>
      </c>
      <c r="I249" s="108">
        <f t="shared" si="9"/>
        <v>-1.69816536093889E-2</v>
      </c>
    </row>
    <row r="250" spans="1:9" s="32" customFormat="1" x14ac:dyDescent="0.3">
      <c r="A250"/>
      <c r="B250" s="97"/>
      <c r="E250" s="105">
        <v>44458</v>
      </c>
      <c r="F250" s="32">
        <v>827.7</v>
      </c>
      <c r="G250" s="106">
        <f t="shared" si="8"/>
        <v>0.10963851072041894</v>
      </c>
      <c r="H250" s="107">
        <v>41090.9</v>
      </c>
      <c r="I250" s="108">
        <f t="shared" si="9"/>
        <v>7.1315655325442737E-3</v>
      </c>
    </row>
    <row r="251" spans="1:9" s="32" customFormat="1" x14ac:dyDescent="0.3">
      <c r="A251"/>
      <c r="B251" s="97"/>
      <c r="E251" s="105">
        <v>44451</v>
      </c>
      <c r="F251" s="32">
        <v>741.75</v>
      </c>
      <c r="G251" s="106">
        <f t="shared" si="8"/>
        <v>-1.8235151107425282E-2</v>
      </c>
      <c r="H251" s="107">
        <v>40798.9</v>
      </c>
      <c r="I251" s="108">
        <f t="shared" si="9"/>
        <v>5.4303046370406133E-3</v>
      </c>
    </row>
    <row r="252" spans="1:9" s="32" customFormat="1" x14ac:dyDescent="0.3">
      <c r="A252"/>
      <c r="B252" s="97"/>
      <c r="E252" s="105">
        <v>44444</v>
      </c>
      <c r="F252" s="32">
        <v>755.4</v>
      </c>
      <c r="G252" s="106">
        <f t="shared" si="8"/>
        <v>3.2485857455279107E-3</v>
      </c>
      <c r="H252" s="107">
        <v>40577.949999999997</v>
      </c>
      <c r="I252" s="108">
        <f t="shared" si="9"/>
        <v>8.7050480277015979E-3</v>
      </c>
    </row>
    <row r="253" spans="1:9" s="32" customFormat="1" x14ac:dyDescent="0.3">
      <c r="A253"/>
      <c r="B253" s="97"/>
      <c r="E253" s="105">
        <v>44437</v>
      </c>
      <c r="F253" s="32">
        <v>752.95</v>
      </c>
      <c r="G253" s="106">
        <f t="shared" si="8"/>
        <v>7.2275838890705421E-2</v>
      </c>
      <c r="H253" s="107">
        <v>40226.25</v>
      </c>
      <c r="I253" s="108">
        <f t="shared" si="9"/>
        <v>3.559706989847896E-2</v>
      </c>
    </row>
    <row r="254" spans="1:9" s="32" customFormat="1" x14ac:dyDescent="0.3">
      <c r="A254"/>
      <c r="B254" s="97"/>
      <c r="E254" s="105">
        <v>44430</v>
      </c>
      <c r="F254" s="32">
        <v>700.45</v>
      </c>
      <c r="G254" s="106">
        <f t="shared" si="8"/>
        <v>-4.9133149719629114E-3</v>
      </c>
      <c r="H254" s="107">
        <v>38819.5</v>
      </c>
      <c r="I254" s="108">
        <f t="shared" si="9"/>
        <v>5.7727580708011152E-3</v>
      </c>
    </row>
    <row r="255" spans="1:9" s="32" customFormat="1" x14ac:dyDescent="0.3">
      <c r="A255"/>
      <c r="B255" s="97"/>
      <c r="E255" s="105">
        <v>44423</v>
      </c>
      <c r="F255" s="32">
        <v>703.9</v>
      </c>
      <c r="G255" s="106">
        <f t="shared" si="8"/>
        <v>6.3639176651705806E-2</v>
      </c>
      <c r="H255" s="107">
        <v>38596.050000000003</v>
      </c>
      <c r="I255" s="108">
        <f t="shared" si="9"/>
        <v>4.6510083752492271E-2</v>
      </c>
    </row>
    <row r="256" spans="1:9" s="32" customFormat="1" x14ac:dyDescent="0.3">
      <c r="A256"/>
      <c r="B256" s="97"/>
      <c r="E256" s="105">
        <v>44416</v>
      </c>
      <c r="F256" s="32">
        <v>660.5</v>
      </c>
      <c r="G256" s="106">
        <f t="shared" si="8"/>
        <v>1.9337935887560078E-2</v>
      </c>
      <c r="H256" s="107">
        <v>36842.050000000003</v>
      </c>
      <c r="I256" s="108">
        <f t="shared" si="9"/>
        <v>4.6863278571097518E-3</v>
      </c>
    </row>
    <row r="257" spans="1:9" s="32" customFormat="1" x14ac:dyDescent="0.3">
      <c r="A257"/>
      <c r="B257" s="97"/>
      <c r="E257" s="105">
        <v>44409</v>
      </c>
      <c r="F257" s="32">
        <v>647.85</v>
      </c>
      <c r="G257" s="106">
        <f t="shared" si="8"/>
        <v>1.1019822830639276E-2</v>
      </c>
      <c r="H257" s="107">
        <v>36669.800000000003</v>
      </c>
      <c r="I257" s="108">
        <f t="shared" si="9"/>
        <v>1.6993961099632419E-2</v>
      </c>
    </row>
    <row r="258" spans="1:9" s="32" customFormat="1" x14ac:dyDescent="0.3">
      <c r="A258"/>
      <c r="B258" s="97"/>
      <c r="E258" s="105">
        <v>44402</v>
      </c>
      <c r="F258" s="32">
        <v>640.75</v>
      </c>
      <c r="G258" s="106">
        <f t="shared" si="8"/>
        <v>-6.4514135354481528E-2</v>
      </c>
      <c r="H258" s="107">
        <v>36051.9</v>
      </c>
      <c r="I258" s="108">
        <f t="shared" si="9"/>
        <v>-1.3958253383334835E-2</v>
      </c>
    </row>
    <row r="259" spans="1:9" s="32" customFormat="1" x14ac:dyDescent="0.3">
      <c r="A259"/>
      <c r="B259" s="97"/>
      <c r="E259" s="105">
        <v>44395</v>
      </c>
      <c r="F259" s="32">
        <v>683.45</v>
      </c>
      <c r="G259" s="106">
        <f t="shared" si="8"/>
        <v>2.3763934281388423E-2</v>
      </c>
      <c r="H259" s="107">
        <v>36558.65</v>
      </c>
      <c r="I259" s="108">
        <f t="shared" si="9"/>
        <v>8.3805127621960507E-3</v>
      </c>
    </row>
    <row r="260" spans="1:9" s="32" customFormat="1" x14ac:dyDescent="0.3">
      <c r="A260"/>
      <c r="B260" s="97"/>
      <c r="E260" s="105">
        <v>44388</v>
      </c>
      <c r="F260" s="32">
        <v>667.4</v>
      </c>
      <c r="G260" s="106">
        <f t="shared" si="8"/>
        <v>1.8372724113757937E-2</v>
      </c>
      <c r="H260" s="107">
        <v>36253.550000000003</v>
      </c>
      <c r="I260" s="108">
        <f t="shared" si="9"/>
        <v>1.909220816023271E-3</v>
      </c>
    </row>
    <row r="261" spans="1:9" s="32" customFormat="1" x14ac:dyDescent="0.3">
      <c r="A261"/>
      <c r="B261" s="97"/>
      <c r="E261" s="105">
        <v>44381</v>
      </c>
      <c r="F261" s="32">
        <v>655.25</v>
      </c>
      <c r="G261" s="106">
        <f t="shared" si="8"/>
        <v>-1.0928241110616448E-2</v>
      </c>
      <c r="H261" s="107">
        <v>36184.400000000001</v>
      </c>
      <c r="I261" s="108">
        <f t="shared" si="9"/>
        <v>-8.9225169625503197E-4</v>
      </c>
    </row>
    <row r="262" spans="1:9" s="32" customFormat="1" x14ac:dyDescent="0.3">
      <c r="A262"/>
      <c r="B262" s="97"/>
      <c r="E262" s="105">
        <v>44374</v>
      </c>
      <c r="F262" s="32">
        <v>662.45</v>
      </c>
      <c r="G262" s="106">
        <f t="shared" ref="G262:G273" si="10">LN(F262/F263)</f>
        <v>-2.6382256285140322E-3</v>
      </c>
      <c r="H262" s="107">
        <v>36216.699999999997</v>
      </c>
      <c r="I262" s="108">
        <f t="shared" ref="I262:I273" si="11">LN(H262/H263)</f>
        <v>5.8194720697961602E-3</v>
      </c>
    </row>
    <row r="263" spans="1:9" s="32" customFormat="1" x14ac:dyDescent="0.3">
      <c r="A263"/>
      <c r="B263" s="97"/>
      <c r="E263" s="105">
        <v>44367</v>
      </c>
      <c r="F263" s="32">
        <v>664.2</v>
      </c>
      <c r="G263" s="106">
        <f t="shared" si="10"/>
        <v>-1.2790480664368964E-2</v>
      </c>
      <c r="H263" s="107">
        <v>36006.550000000003</v>
      </c>
      <c r="I263" s="108">
        <f t="shared" si="11"/>
        <v>-7.7628177589353512E-3</v>
      </c>
    </row>
    <row r="264" spans="1:9" s="32" customFormat="1" x14ac:dyDescent="0.3">
      <c r="A264"/>
      <c r="B264" s="97"/>
      <c r="E264" s="105">
        <v>44360</v>
      </c>
      <c r="F264" s="32">
        <v>672.75</v>
      </c>
      <c r="G264" s="106">
        <f t="shared" si="10"/>
        <v>4.0496889438786002E-2</v>
      </c>
      <c r="H264" s="107">
        <v>36287.15</v>
      </c>
      <c r="I264" s="108">
        <f t="shared" si="11"/>
        <v>1.7800094906448884E-2</v>
      </c>
    </row>
    <row r="265" spans="1:9" s="32" customFormat="1" x14ac:dyDescent="0.3">
      <c r="A265"/>
      <c r="B265" s="97"/>
      <c r="E265" s="105">
        <v>44353</v>
      </c>
      <c r="F265" s="32">
        <v>646.04999999999995</v>
      </c>
      <c r="G265" s="106">
        <f t="shared" si="10"/>
        <v>2.6189359430715198E-2</v>
      </c>
      <c r="H265" s="107">
        <v>35646.949999999997</v>
      </c>
      <c r="I265" s="108">
        <f t="shared" si="11"/>
        <v>1.43804232602954E-2</v>
      </c>
    </row>
    <row r="266" spans="1:9" s="32" customFormat="1" x14ac:dyDescent="0.3">
      <c r="A266"/>
      <c r="B266" s="97"/>
      <c r="E266" s="105">
        <v>44346</v>
      </c>
      <c r="F266" s="32">
        <v>629.35</v>
      </c>
      <c r="G266" s="106">
        <f t="shared" si="10"/>
        <v>2.9181499948432291E-2</v>
      </c>
      <c r="H266" s="107">
        <v>35138</v>
      </c>
      <c r="I266" s="108">
        <f t="shared" si="11"/>
        <v>7.0685800930663937E-3</v>
      </c>
    </row>
    <row r="267" spans="1:9" s="32" customFormat="1" x14ac:dyDescent="0.3">
      <c r="A267"/>
      <c r="B267" s="97"/>
      <c r="E267" s="105">
        <v>44339</v>
      </c>
      <c r="F267" s="32">
        <v>611.25</v>
      </c>
      <c r="G267" s="106">
        <f t="shared" si="10"/>
        <v>6.5930081956405623E-2</v>
      </c>
      <c r="H267" s="107">
        <v>34890.5</v>
      </c>
      <c r="I267" s="108">
        <f t="shared" si="11"/>
        <v>5.7472702806484971E-3</v>
      </c>
    </row>
    <row r="268" spans="1:9" s="32" customFormat="1" x14ac:dyDescent="0.3">
      <c r="A268"/>
      <c r="B268" s="97"/>
      <c r="E268" s="105">
        <v>44332</v>
      </c>
      <c r="F268" s="32">
        <v>572.25</v>
      </c>
      <c r="G268" s="106">
        <f t="shared" si="10"/>
        <v>1.2219395151431122E-2</v>
      </c>
      <c r="H268" s="107">
        <v>34690.550000000003</v>
      </c>
      <c r="I268" s="108">
        <f t="shared" si="11"/>
        <v>-2.6183206616113754E-3</v>
      </c>
    </row>
    <row r="269" spans="1:9" s="32" customFormat="1" x14ac:dyDescent="0.3">
      <c r="A269"/>
      <c r="B269" s="97"/>
      <c r="E269" s="105">
        <v>44325</v>
      </c>
      <c r="F269" s="32">
        <v>565.29999999999995</v>
      </c>
      <c r="G269" s="106">
        <f t="shared" si="10"/>
        <v>3.1172521771843664E-2</v>
      </c>
      <c r="H269" s="107">
        <v>34781.5</v>
      </c>
      <c r="I269" s="108">
        <f t="shared" si="11"/>
        <v>1.9099339735686494E-2</v>
      </c>
    </row>
    <row r="270" spans="1:9" s="32" customFormat="1" x14ac:dyDescent="0.3">
      <c r="A270"/>
      <c r="B270" s="97"/>
      <c r="E270" s="105">
        <v>44318</v>
      </c>
      <c r="F270" s="32">
        <v>547.95000000000005</v>
      </c>
      <c r="G270" s="106">
        <f t="shared" si="10"/>
        <v>5.3220989610745714E-2</v>
      </c>
      <c r="H270" s="107">
        <v>34123.5</v>
      </c>
      <c r="I270" s="108">
        <f t="shared" si="11"/>
        <v>1.4762556289827866E-2</v>
      </c>
    </row>
    <row r="271" spans="1:9" s="32" customFormat="1" x14ac:dyDescent="0.3">
      <c r="A271"/>
      <c r="B271" s="97"/>
      <c r="E271" s="105">
        <v>44311</v>
      </c>
      <c r="F271" s="32">
        <v>519.54999999999995</v>
      </c>
      <c r="G271" s="106">
        <f t="shared" si="10"/>
        <v>-4.9918506269019218E-3</v>
      </c>
      <c r="H271" s="107">
        <v>33623.449999999997</v>
      </c>
      <c r="I271" s="108">
        <f t="shared" si="11"/>
        <v>-3.0482781098107076E-3</v>
      </c>
    </row>
    <row r="272" spans="1:9" s="32" customFormat="1" x14ac:dyDescent="0.3">
      <c r="A272"/>
      <c r="B272" s="97"/>
      <c r="E272" s="105">
        <v>44304</v>
      </c>
      <c r="F272" s="32">
        <v>522.15</v>
      </c>
      <c r="G272" s="106">
        <f t="shared" si="10"/>
        <v>5.9546852863032003E-3</v>
      </c>
      <c r="H272" s="107">
        <v>33726.1</v>
      </c>
      <c r="I272" s="108">
        <f t="shared" si="11"/>
        <v>-3.2871502181247049E-2</v>
      </c>
    </row>
    <row r="273" spans="1:9" s="32" customFormat="1" x14ac:dyDescent="0.3">
      <c r="A273"/>
      <c r="B273" s="97"/>
      <c r="E273" s="105">
        <v>44297</v>
      </c>
      <c r="F273" s="32">
        <v>519.04999999999995</v>
      </c>
      <c r="G273" s="106">
        <f t="shared" si="10"/>
        <v>-3.4370247009828242E-2</v>
      </c>
      <c r="H273" s="107">
        <v>34853.15</v>
      </c>
      <c r="I273" s="108">
        <f t="shared" si="11"/>
        <v>-1.1409948157604684E-2</v>
      </c>
    </row>
    <row r="274" spans="1:9" s="32" customFormat="1" x14ac:dyDescent="0.3">
      <c r="A274"/>
      <c r="B274" s="97"/>
      <c r="E274" s="109">
        <v>44290</v>
      </c>
      <c r="F274" s="110">
        <v>537.20000000000005</v>
      </c>
      <c r="G274" s="111"/>
      <c r="H274" s="112">
        <v>35253.1</v>
      </c>
      <c r="I274" s="113"/>
    </row>
    <row r="275" spans="1:9" s="32" customFormat="1" x14ac:dyDescent="0.3">
      <c r="A275"/>
      <c r="B275" s="97"/>
    </row>
    <row r="276" spans="1:9" s="32" customFormat="1" x14ac:dyDescent="0.3">
      <c r="A276"/>
      <c r="B276" s="97"/>
    </row>
    <row r="277" spans="1:9" s="32" customFormat="1" x14ac:dyDescent="0.3">
      <c r="A277"/>
      <c r="B277" s="97"/>
    </row>
    <row r="278" spans="1:9" s="32" customFormat="1" x14ac:dyDescent="0.3">
      <c r="A278"/>
      <c r="B278" s="97"/>
    </row>
    <row r="279" spans="1:9" s="32" customFormat="1" x14ac:dyDescent="0.3">
      <c r="A279"/>
      <c r="B279" s="97"/>
    </row>
    <row r="280" spans="1:9" s="32" customFormat="1" x14ac:dyDescent="0.3">
      <c r="A280"/>
      <c r="B280" s="97"/>
    </row>
    <row r="281" spans="1:9" s="32" customFormat="1" x14ac:dyDescent="0.3">
      <c r="A281"/>
      <c r="B281" s="97"/>
    </row>
    <row r="282" spans="1:9" s="32" customFormat="1" x14ac:dyDescent="0.3">
      <c r="A282"/>
      <c r="B282" s="97"/>
    </row>
    <row r="283" spans="1:9" s="32" customFormat="1" x14ac:dyDescent="0.3">
      <c r="A283"/>
      <c r="B283" s="97"/>
    </row>
    <row r="284" spans="1:9" s="32" customFormat="1" x14ac:dyDescent="0.3">
      <c r="A284"/>
      <c r="B284" s="97"/>
    </row>
    <row r="285" spans="1:9" s="32" customFormat="1" x14ac:dyDescent="0.3">
      <c r="A285"/>
      <c r="B285" s="97"/>
    </row>
    <row r="286" spans="1:9" s="32" customFormat="1" x14ac:dyDescent="0.3">
      <c r="A286"/>
      <c r="B286" s="97"/>
    </row>
    <row r="287" spans="1:9" s="32" customFormat="1" x14ac:dyDescent="0.3">
      <c r="A287"/>
      <c r="B287" s="97"/>
    </row>
    <row r="288" spans="1:9" s="32" customFormat="1" x14ac:dyDescent="0.3">
      <c r="A288"/>
      <c r="B288" s="97"/>
    </row>
    <row r="289" spans="1:2" s="32" customFormat="1" x14ac:dyDescent="0.3">
      <c r="A289"/>
      <c r="B289" s="97"/>
    </row>
    <row r="290" spans="1:2" s="32" customFormat="1" x14ac:dyDescent="0.3">
      <c r="A290"/>
      <c r="B290" s="97"/>
    </row>
    <row r="291" spans="1:2" s="32" customFormat="1" x14ac:dyDescent="0.3">
      <c r="A291"/>
      <c r="B291" s="97"/>
    </row>
    <row r="292" spans="1:2" s="32" customFormat="1" x14ac:dyDescent="0.3">
      <c r="A292"/>
      <c r="B292" s="97"/>
    </row>
    <row r="293" spans="1:2" s="32" customFormat="1" x14ac:dyDescent="0.3">
      <c r="A293"/>
      <c r="B293" s="97"/>
    </row>
    <row r="294" spans="1:2" s="32" customFormat="1" x14ac:dyDescent="0.3">
      <c r="A294"/>
      <c r="B294" s="97"/>
    </row>
    <row r="295" spans="1:2" s="32" customFormat="1" x14ac:dyDescent="0.3">
      <c r="A295"/>
      <c r="B295" s="97"/>
    </row>
    <row r="296" spans="1:2" s="32" customFormat="1" x14ac:dyDescent="0.3">
      <c r="A296"/>
      <c r="B296" s="97"/>
    </row>
    <row r="297" spans="1:2" s="32" customFormat="1" x14ac:dyDescent="0.3">
      <c r="A297"/>
      <c r="B297" s="97"/>
    </row>
    <row r="298" spans="1:2" s="32" customFormat="1" x14ac:dyDescent="0.3">
      <c r="A298"/>
      <c r="B298" s="97"/>
    </row>
    <row r="299" spans="1:2" s="32" customFormat="1" x14ac:dyDescent="0.3">
      <c r="A299"/>
      <c r="B299" s="97"/>
    </row>
    <row r="300" spans="1:2" s="32" customFormat="1" x14ac:dyDescent="0.3">
      <c r="A300"/>
      <c r="B300" s="97"/>
    </row>
    <row r="301" spans="1:2" s="32" customFormat="1" x14ac:dyDescent="0.3">
      <c r="A301"/>
      <c r="B301" s="97"/>
    </row>
    <row r="302" spans="1:2" s="32" customFormat="1" x14ac:dyDescent="0.3">
      <c r="A302"/>
      <c r="B302" s="97"/>
    </row>
    <row r="303" spans="1:2" s="32" customFormat="1" x14ac:dyDescent="0.3">
      <c r="A303"/>
      <c r="B303" s="97"/>
    </row>
    <row r="304" spans="1:2" s="32" customFormat="1" x14ac:dyDescent="0.3">
      <c r="A304"/>
      <c r="B304" s="97"/>
    </row>
    <row r="305" spans="1:2" s="32" customFormat="1" x14ac:dyDescent="0.3">
      <c r="A305"/>
      <c r="B305" s="97"/>
    </row>
    <row r="306" spans="1:2" s="32" customFormat="1" x14ac:dyDescent="0.3">
      <c r="A306"/>
      <c r="B306" s="97"/>
    </row>
    <row r="307" spans="1:2" s="32" customFormat="1" x14ac:dyDescent="0.3">
      <c r="A307"/>
      <c r="B307" s="97"/>
    </row>
    <row r="308" spans="1:2" s="32" customFormat="1" x14ac:dyDescent="0.3">
      <c r="A308"/>
      <c r="B308" s="97"/>
    </row>
    <row r="309" spans="1:2" s="32" customFormat="1" x14ac:dyDescent="0.3">
      <c r="A309"/>
      <c r="B309" s="97"/>
    </row>
    <row r="310" spans="1:2" s="32" customFormat="1" x14ac:dyDescent="0.3">
      <c r="A310"/>
      <c r="B310" s="97"/>
    </row>
    <row r="311" spans="1:2" s="32" customFormat="1" x14ac:dyDescent="0.3">
      <c r="A311"/>
      <c r="B311" s="97"/>
    </row>
    <row r="312" spans="1:2" s="32" customFormat="1" x14ac:dyDescent="0.3">
      <c r="A312"/>
      <c r="B312" s="97"/>
    </row>
    <row r="313" spans="1:2" s="32" customFormat="1" x14ac:dyDescent="0.3">
      <c r="A313"/>
      <c r="B313" s="97"/>
    </row>
    <row r="314" spans="1:2" s="32" customFormat="1" x14ac:dyDescent="0.3">
      <c r="A314"/>
      <c r="B314" s="97"/>
    </row>
    <row r="315" spans="1:2" s="32" customFormat="1" x14ac:dyDescent="0.3">
      <c r="A315"/>
      <c r="B315" s="97"/>
    </row>
    <row r="316" spans="1:2" s="32" customFormat="1" x14ac:dyDescent="0.3">
      <c r="A316"/>
      <c r="B316" s="97"/>
    </row>
    <row r="317" spans="1:2" s="32" customFormat="1" x14ac:dyDescent="0.3">
      <c r="A317"/>
      <c r="B317" s="97"/>
    </row>
    <row r="318" spans="1:2" s="32" customFormat="1" x14ac:dyDescent="0.3">
      <c r="A318"/>
      <c r="B318" s="97"/>
    </row>
    <row r="319" spans="1:2" s="32" customFormat="1" x14ac:dyDescent="0.3">
      <c r="A319"/>
      <c r="B319" s="97"/>
    </row>
    <row r="320" spans="1:2" s="32" customFormat="1" x14ac:dyDescent="0.3">
      <c r="A320"/>
      <c r="B320" s="97"/>
    </row>
    <row r="321" spans="1:2" s="32" customFormat="1" x14ac:dyDescent="0.3">
      <c r="A321"/>
      <c r="B321" s="97"/>
    </row>
    <row r="322" spans="1:2" s="32" customFormat="1" x14ac:dyDescent="0.3">
      <c r="A322"/>
      <c r="B322" s="97"/>
    </row>
    <row r="323" spans="1:2" s="32" customFormat="1" x14ac:dyDescent="0.3">
      <c r="A323"/>
      <c r="B323" s="97"/>
    </row>
    <row r="324" spans="1:2" s="32" customFormat="1" x14ac:dyDescent="0.3">
      <c r="A324"/>
      <c r="B324" s="97"/>
    </row>
    <row r="325" spans="1:2" s="32" customFormat="1" x14ac:dyDescent="0.3">
      <c r="A325"/>
      <c r="B325" s="97"/>
    </row>
    <row r="326" spans="1:2" s="32" customFormat="1" x14ac:dyDescent="0.3">
      <c r="A326"/>
      <c r="B326" s="97"/>
    </row>
    <row r="327" spans="1:2" s="32" customFormat="1" x14ac:dyDescent="0.3">
      <c r="A327"/>
      <c r="B327" s="97"/>
    </row>
    <row r="328" spans="1:2" s="32" customFormat="1" x14ac:dyDescent="0.3">
      <c r="A328"/>
      <c r="B328" s="97"/>
    </row>
    <row r="329" spans="1:2" s="32" customFormat="1" x14ac:dyDescent="0.3">
      <c r="A329"/>
      <c r="B329" s="97"/>
    </row>
    <row r="330" spans="1:2" s="32" customFormat="1" x14ac:dyDescent="0.3">
      <c r="A330"/>
      <c r="B330" s="97"/>
    </row>
    <row r="331" spans="1:2" s="32" customFormat="1" x14ac:dyDescent="0.3">
      <c r="A331"/>
      <c r="B331" s="97"/>
    </row>
    <row r="332" spans="1:2" s="32" customFormat="1" x14ac:dyDescent="0.3">
      <c r="A332"/>
      <c r="B332" s="97"/>
    </row>
    <row r="333" spans="1:2" s="32" customFormat="1" x14ac:dyDescent="0.3">
      <c r="A333"/>
      <c r="B333" s="97"/>
    </row>
    <row r="334" spans="1:2" s="32" customFormat="1" x14ac:dyDescent="0.3">
      <c r="A334"/>
      <c r="B334" s="97"/>
    </row>
    <row r="335" spans="1:2" s="32" customFormat="1" x14ac:dyDescent="0.3">
      <c r="A335"/>
      <c r="B335" s="97"/>
    </row>
    <row r="336" spans="1:2" s="32" customFormat="1" x14ac:dyDescent="0.3">
      <c r="A336"/>
      <c r="B336" s="97"/>
    </row>
    <row r="337" spans="1:2" s="32" customFormat="1" x14ac:dyDescent="0.3">
      <c r="A337"/>
      <c r="B337" s="97"/>
    </row>
    <row r="338" spans="1:2" s="32" customFormat="1" x14ac:dyDescent="0.3">
      <c r="A338"/>
      <c r="B338" s="97"/>
    </row>
    <row r="339" spans="1:2" s="32" customFormat="1" x14ac:dyDescent="0.3">
      <c r="A339"/>
      <c r="B339" s="97"/>
    </row>
    <row r="340" spans="1:2" s="32" customFormat="1" x14ac:dyDescent="0.3">
      <c r="A340"/>
      <c r="B340" s="97"/>
    </row>
    <row r="341" spans="1:2" s="32" customFormat="1" x14ac:dyDescent="0.3">
      <c r="A341"/>
      <c r="B341" s="97"/>
    </row>
    <row r="342" spans="1:2" s="32" customFormat="1" x14ac:dyDescent="0.3">
      <c r="A342"/>
      <c r="B342" s="97"/>
    </row>
    <row r="343" spans="1:2" s="32" customFormat="1" x14ac:dyDescent="0.3">
      <c r="A343"/>
      <c r="B343" s="97"/>
    </row>
    <row r="344" spans="1:2" s="32" customFormat="1" x14ac:dyDescent="0.3">
      <c r="A344"/>
      <c r="B344" s="97"/>
    </row>
    <row r="345" spans="1:2" s="32" customFormat="1" x14ac:dyDescent="0.3">
      <c r="A345"/>
      <c r="B345" s="97"/>
    </row>
    <row r="346" spans="1:2" s="32" customFormat="1" x14ac:dyDescent="0.3">
      <c r="A346"/>
      <c r="B346" s="97"/>
    </row>
    <row r="347" spans="1:2" s="32" customFormat="1" x14ac:dyDescent="0.3">
      <c r="A347"/>
      <c r="B347" s="97"/>
    </row>
    <row r="348" spans="1:2" s="32" customFormat="1" x14ac:dyDescent="0.3">
      <c r="A348"/>
      <c r="B348" s="97"/>
    </row>
    <row r="349" spans="1:2" s="32" customFormat="1" x14ac:dyDescent="0.3">
      <c r="A349"/>
      <c r="B349" s="97"/>
    </row>
    <row r="350" spans="1:2" s="32" customFormat="1" x14ac:dyDescent="0.3">
      <c r="A350"/>
      <c r="B350" s="97"/>
    </row>
    <row r="351" spans="1:2" s="32" customFormat="1" x14ac:dyDescent="0.3">
      <c r="A351"/>
      <c r="B351" s="97"/>
    </row>
    <row r="352" spans="1:2" s="32" customFormat="1" x14ac:dyDescent="0.3">
      <c r="A352"/>
      <c r="B352" s="97"/>
    </row>
    <row r="353" spans="1:2" s="32" customFormat="1" x14ac:dyDescent="0.3">
      <c r="A353"/>
      <c r="B353" s="97"/>
    </row>
    <row r="354" spans="1:2" s="32" customFormat="1" x14ac:dyDescent="0.3">
      <c r="A354"/>
      <c r="B354" s="97"/>
    </row>
    <row r="355" spans="1:2" s="32" customFormat="1" x14ac:dyDescent="0.3">
      <c r="A355"/>
      <c r="B355" s="97"/>
    </row>
    <row r="356" spans="1:2" s="32" customFormat="1" x14ac:dyDescent="0.3">
      <c r="A356"/>
      <c r="B356" s="97"/>
    </row>
    <row r="357" spans="1:2" s="32" customFormat="1" x14ac:dyDescent="0.3">
      <c r="A357"/>
      <c r="B357" s="97"/>
    </row>
    <row r="358" spans="1:2" s="32" customFormat="1" x14ac:dyDescent="0.3">
      <c r="A358"/>
      <c r="B358" s="97"/>
    </row>
    <row r="359" spans="1:2" s="32" customFormat="1" x14ac:dyDescent="0.3">
      <c r="A359"/>
      <c r="B359" s="97"/>
    </row>
    <row r="360" spans="1:2" s="32" customFormat="1" x14ac:dyDescent="0.3">
      <c r="A360"/>
      <c r="B360" s="97"/>
    </row>
    <row r="361" spans="1:2" s="32" customFormat="1" x14ac:dyDescent="0.3">
      <c r="A361"/>
      <c r="B361" s="97"/>
    </row>
    <row r="362" spans="1:2" s="32" customFormat="1" x14ac:dyDescent="0.3">
      <c r="A362"/>
      <c r="B362" s="97"/>
    </row>
    <row r="363" spans="1:2" s="32" customFormat="1" x14ac:dyDescent="0.3">
      <c r="A363"/>
      <c r="B363" s="97"/>
    </row>
    <row r="364" spans="1:2" s="32" customFormat="1" x14ac:dyDescent="0.3">
      <c r="A364"/>
      <c r="B364" s="97"/>
    </row>
    <row r="365" spans="1:2" s="32" customFormat="1" x14ac:dyDescent="0.3">
      <c r="A365"/>
      <c r="B365" s="97"/>
    </row>
    <row r="366" spans="1:2" s="32" customFormat="1" x14ac:dyDescent="0.3">
      <c r="A366"/>
      <c r="B366" s="97"/>
    </row>
    <row r="367" spans="1:2" s="32" customFormat="1" x14ac:dyDescent="0.3">
      <c r="A367"/>
      <c r="B367" s="97"/>
    </row>
    <row r="368" spans="1:2" s="32" customFormat="1" x14ac:dyDescent="0.3">
      <c r="A368"/>
      <c r="B368" s="97"/>
    </row>
    <row r="369" spans="1:2" s="32" customFormat="1" x14ac:dyDescent="0.3">
      <c r="A369"/>
      <c r="B369" s="97"/>
    </row>
    <row r="370" spans="1:2" s="32" customFormat="1" x14ac:dyDescent="0.3">
      <c r="A370"/>
      <c r="B370" s="97"/>
    </row>
    <row r="371" spans="1:2" s="32" customFormat="1" x14ac:dyDescent="0.3">
      <c r="A371"/>
      <c r="B371" s="97"/>
    </row>
    <row r="372" spans="1:2" s="32" customFormat="1" x14ac:dyDescent="0.3">
      <c r="A372"/>
      <c r="B372" s="97"/>
    </row>
    <row r="373" spans="1:2" s="32" customFormat="1" x14ac:dyDescent="0.3">
      <c r="A373"/>
      <c r="B373" s="97"/>
    </row>
    <row r="374" spans="1:2" s="32" customFormat="1" x14ac:dyDescent="0.3">
      <c r="A374"/>
      <c r="B374" s="97"/>
    </row>
    <row r="375" spans="1:2" s="32" customFormat="1" x14ac:dyDescent="0.3">
      <c r="A375"/>
      <c r="B375" s="97"/>
    </row>
    <row r="376" spans="1:2" s="32" customFormat="1" x14ac:dyDescent="0.3">
      <c r="A376"/>
      <c r="B376" s="97"/>
    </row>
    <row r="377" spans="1:2" s="32" customFormat="1" x14ac:dyDescent="0.3">
      <c r="A377"/>
      <c r="B377" s="97"/>
    </row>
    <row r="378" spans="1:2" s="32" customFormat="1" x14ac:dyDescent="0.3">
      <c r="A378"/>
      <c r="B378" s="97"/>
    </row>
    <row r="379" spans="1:2" s="32" customFormat="1" x14ac:dyDescent="0.3">
      <c r="A379"/>
      <c r="B379" s="97"/>
    </row>
    <row r="380" spans="1:2" s="32" customFormat="1" x14ac:dyDescent="0.3">
      <c r="A380"/>
      <c r="B380" s="97"/>
    </row>
    <row r="381" spans="1:2" s="32" customFormat="1" x14ac:dyDescent="0.3">
      <c r="A381"/>
      <c r="B381" s="97"/>
    </row>
    <row r="382" spans="1:2" s="32" customFormat="1" x14ac:dyDescent="0.3">
      <c r="A382"/>
      <c r="B382" s="97"/>
    </row>
    <row r="383" spans="1:2" s="32" customFormat="1" x14ac:dyDescent="0.3">
      <c r="A383"/>
      <c r="B383" s="97"/>
    </row>
    <row r="384" spans="1:2" s="32" customFormat="1" x14ac:dyDescent="0.3">
      <c r="A384"/>
      <c r="B384" s="97"/>
    </row>
    <row r="385" spans="1:2" s="32" customFormat="1" x14ac:dyDescent="0.3">
      <c r="A385"/>
      <c r="B385" s="97"/>
    </row>
    <row r="386" spans="1:2" s="32" customFormat="1" x14ac:dyDescent="0.3">
      <c r="A386"/>
      <c r="B386" s="97"/>
    </row>
    <row r="387" spans="1:2" s="32" customFormat="1" x14ac:dyDescent="0.3">
      <c r="A387"/>
      <c r="B387" s="97"/>
    </row>
    <row r="388" spans="1:2" s="32" customFormat="1" x14ac:dyDescent="0.3">
      <c r="A388"/>
      <c r="B388" s="97"/>
    </row>
    <row r="389" spans="1:2" s="32" customFormat="1" x14ac:dyDescent="0.3">
      <c r="A389"/>
      <c r="B389" s="97"/>
    </row>
    <row r="390" spans="1:2" s="32" customFormat="1" x14ac:dyDescent="0.3">
      <c r="A390"/>
      <c r="B390" s="97"/>
    </row>
    <row r="391" spans="1:2" s="32" customFormat="1" x14ac:dyDescent="0.3">
      <c r="A391"/>
      <c r="B391" s="97"/>
    </row>
    <row r="392" spans="1:2" s="32" customFormat="1" x14ac:dyDescent="0.3">
      <c r="A392"/>
      <c r="B392" s="97"/>
    </row>
    <row r="393" spans="1:2" s="32" customFormat="1" x14ac:dyDescent="0.3">
      <c r="A393"/>
      <c r="B393" s="97"/>
    </row>
    <row r="394" spans="1:2" s="32" customFormat="1" x14ac:dyDescent="0.3">
      <c r="A394"/>
      <c r="B394" s="97"/>
    </row>
    <row r="395" spans="1:2" s="32" customFormat="1" x14ac:dyDescent="0.3">
      <c r="A395"/>
      <c r="B395" s="97"/>
    </row>
    <row r="396" spans="1:2" s="32" customFormat="1" x14ac:dyDescent="0.3">
      <c r="A396"/>
      <c r="B396" s="97"/>
    </row>
    <row r="397" spans="1:2" s="32" customFormat="1" x14ac:dyDescent="0.3">
      <c r="A397"/>
      <c r="B397" s="97"/>
    </row>
    <row r="398" spans="1:2" s="32" customFormat="1" x14ac:dyDescent="0.3">
      <c r="A398"/>
      <c r="B398" s="97"/>
    </row>
    <row r="399" spans="1:2" s="32" customFormat="1" x14ac:dyDescent="0.3">
      <c r="A399"/>
      <c r="B399" s="97"/>
    </row>
    <row r="400" spans="1:2" s="32" customFormat="1" x14ac:dyDescent="0.3">
      <c r="A400"/>
      <c r="B400" s="97"/>
    </row>
    <row r="401" spans="1:2" s="32" customFormat="1" x14ac:dyDescent="0.3">
      <c r="A401"/>
      <c r="B401" s="97"/>
    </row>
    <row r="402" spans="1:2" s="32" customFormat="1" x14ac:dyDescent="0.3">
      <c r="A402"/>
      <c r="B402" s="97"/>
    </row>
    <row r="403" spans="1:2" s="32" customFormat="1" x14ac:dyDescent="0.3">
      <c r="A403"/>
      <c r="B403" s="97"/>
    </row>
    <row r="404" spans="1:2" s="32" customFormat="1" x14ac:dyDescent="0.3">
      <c r="A404"/>
      <c r="B404" s="97"/>
    </row>
    <row r="405" spans="1:2" s="32" customFormat="1" x14ac:dyDescent="0.3">
      <c r="A405"/>
      <c r="B405" s="97"/>
    </row>
    <row r="406" spans="1:2" s="32" customFormat="1" x14ac:dyDescent="0.3">
      <c r="A406"/>
      <c r="B406" s="97"/>
    </row>
    <row r="407" spans="1:2" s="32" customFormat="1" x14ac:dyDescent="0.3">
      <c r="A407"/>
      <c r="B407" s="97"/>
    </row>
    <row r="408" spans="1:2" s="32" customFormat="1" x14ac:dyDescent="0.3">
      <c r="A408"/>
      <c r="B408" s="97"/>
    </row>
    <row r="409" spans="1:2" s="32" customFormat="1" x14ac:dyDescent="0.3">
      <c r="A409"/>
      <c r="B409" s="97"/>
    </row>
    <row r="410" spans="1:2" s="32" customFormat="1" x14ac:dyDescent="0.3">
      <c r="A410"/>
      <c r="B410" s="97"/>
    </row>
    <row r="411" spans="1:2" s="32" customFormat="1" x14ac:dyDescent="0.3">
      <c r="A411"/>
      <c r="B411" s="97"/>
    </row>
    <row r="412" spans="1:2" s="32" customFormat="1" x14ac:dyDescent="0.3">
      <c r="A412"/>
      <c r="B412" s="97"/>
    </row>
    <row r="413" spans="1:2" s="32" customFormat="1" x14ac:dyDescent="0.3">
      <c r="A413"/>
      <c r="B413" s="97"/>
    </row>
    <row r="414" spans="1:2" s="32" customFormat="1" x14ac:dyDescent="0.3">
      <c r="A414"/>
      <c r="B414" s="97"/>
    </row>
    <row r="415" spans="1:2" s="32" customFormat="1" x14ac:dyDescent="0.3">
      <c r="A415"/>
      <c r="B415" s="97"/>
    </row>
    <row r="416" spans="1:2" s="32" customFormat="1" x14ac:dyDescent="0.3">
      <c r="A416"/>
      <c r="B416" s="97"/>
    </row>
    <row r="417" spans="1:2" s="32" customFormat="1" x14ac:dyDescent="0.3">
      <c r="A417"/>
      <c r="B417" s="97"/>
    </row>
    <row r="418" spans="1:2" s="32" customFormat="1" x14ac:dyDescent="0.3">
      <c r="A418"/>
      <c r="B418" s="97"/>
    </row>
    <row r="419" spans="1:2" s="32" customFormat="1" x14ac:dyDescent="0.3">
      <c r="A419"/>
      <c r="B419" s="97"/>
    </row>
    <row r="420" spans="1:2" s="32" customFormat="1" x14ac:dyDescent="0.3">
      <c r="A420"/>
      <c r="B420" s="97"/>
    </row>
    <row r="421" spans="1:2" s="32" customFormat="1" x14ac:dyDescent="0.3">
      <c r="A421"/>
      <c r="B421" s="97"/>
    </row>
    <row r="422" spans="1:2" s="32" customFormat="1" x14ac:dyDescent="0.3">
      <c r="A422"/>
      <c r="B422" s="97"/>
    </row>
    <row r="423" spans="1:2" s="32" customFormat="1" x14ac:dyDescent="0.3">
      <c r="A423"/>
      <c r="B423" s="97"/>
    </row>
    <row r="424" spans="1:2" s="32" customFormat="1" x14ac:dyDescent="0.3">
      <c r="A424"/>
      <c r="B424" s="97"/>
    </row>
    <row r="425" spans="1:2" s="32" customFormat="1" x14ac:dyDescent="0.3">
      <c r="A425"/>
      <c r="B425" s="97"/>
    </row>
    <row r="426" spans="1:2" s="32" customFormat="1" x14ac:dyDescent="0.3">
      <c r="A426"/>
      <c r="B426" s="97"/>
    </row>
    <row r="427" spans="1:2" s="32" customFormat="1" x14ac:dyDescent="0.3">
      <c r="A427"/>
      <c r="B427" s="97"/>
    </row>
    <row r="428" spans="1:2" s="32" customFormat="1" x14ac:dyDescent="0.3">
      <c r="A428"/>
      <c r="B428" s="97"/>
    </row>
    <row r="429" spans="1:2" s="32" customFormat="1" x14ac:dyDescent="0.3">
      <c r="A429"/>
      <c r="B429" s="97"/>
    </row>
    <row r="430" spans="1:2" s="32" customFormat="1" x14ac:dyDescent="0.3">
      <c r="A430"/>
      <c r="B430" s="97"/>
    </row>
    <row r="431" spans="1:2" s="32" customFormat="1" x14ac:dyDescent="0.3">
      <c r="A431"/>
      <c r="B431" s="97"/>
    </row>
    <row r="432" spans="1:2" s="32" customFormat="1" x14ac:dyDescent="0.3">
      <c r="A432"/>
      <c r="B432" s="97"/>
    </row>
    <row r="433" spans="1:2" s="32" customFormat="1" x14ac:dyDescent="0.3">
      <c r="A433"/>
      <c r="B433" s="97"/>
    </row>
    <row r="434" spans="1:2" s="32" customFormat="1" x14ac:dyDescent="0.3">
      <c r="A434"/>
      <c r="B434" s="97"/>
    </row>
    <row r="435" spans="1:2" s="32" customFormat="1" x14ac:dyDescent="0.3">
      <c r="A435"/>
      <c r="B435" s="97"/>
    </row>
    <row r="436" spans="1:2" s="32" customFormat="1" x14ac:dyDescent="0.3">
      <c r="A436"/>
      <c r="B436" s="97"/>
    </row>
    <row r="437" spans="1:2" s="32" customFormat="1" x14ac:dyDescent="0.3">
      <c r="A437"/>
      <c r="B437" s="97"/>
    </row>
    <row r="438" spans="1:2" s="32" customFormat="1" x14ac:dyDescent="0.3">
      <c r="A438"/>
      <c r="B438" s="97"/>
    </row>
    <row r="439" spans="1:2" s="32" customFormat="1" x14ac:dyDescent="0.3">
      <c r="A439"/>
      <c r="B439" s="97"/>
    </row>
    <row r="440" spans="1:2" s="32" customFormat="1" x14ac:dyDescent="0.3">
      <c r="A440"/>
      <c r="B440" s="97"/>
    </row>
    <row r="441" spans="1:2" s="32" customFormat="1" x14ac:dyDescent="0.3">
      <c r="A441"/>
      <c r="B441" s="97"/>
    </row>
    <row r="442" spans="1:2" s="32" customFormat="1" x14ac:dyDescent="0.3">
      <c r="A442"/>
      <c r="B442" s="97"/>
    </row>
    <row r="443" spans="1:2" s="32" customFormat="1" x14ac:dyDescent="0.3">
      <c r="A443"/>
      <c r="B443" s="97"/>
    </row>
    <row r="444" spans="1:2" s="32" customFormat="1" x14ac:dyDescent="0.3">
      <c r="A444"/>
      <c r="B444" s="97"/>
    </row>
    <row r="445" spans="1:2" s="32" customFormat="1" x14ac:dyDescent="0.3">
      <c r="A445"/>
      <c r="B445" s="97"/>
    </row>
    <row r="446" spans="1:2" s="32" customFormat="1" x14ac:dyDescent="0.3">
      <c r="A446"/>
      <c r="B446" s="97"/>
    </row>
    <row r="447" spans="1:2" s="32" customFormat="1" x14ac:dyDescent="0.3">
      <c r="A447"/>
      <c r="B447" s="97"/>
    </row>
    <row r="448" spans="1:2" s="32" customFormat="1" x14ac:dyDescent="0.3">
      <c r="A448"/>
      <c r="B448" s="97"/>
    </row>
    <row r="449" spans="1:2" s="32" customFormat="1" x14ac:dyDescent="0.3">
      <c r="A449"/>
      <c r="B449" s="97"/>
    </row>
    <row r="450" spans="1:2" s="32" customFormat="1" x14ac:dyDescent="0.3">
      <c r="A450"/>
      <c r="B450" s="97"/>
    </row>
    <row r="451" spans="1:2" s="32" customFormat="1" x14ac:dyDescent="0.3">
      <c r="A451"/>
      <c r="B451" s="97"/>
    </row>
    <row r="452" spans="1:2" s="32" customFormat="1" x14ac:dyDescent="0.3">
      <c r="A452"/>
      <c r="B452" s="97"/>
    </row>
    <row r="453" spans="1:2" s="32" customFormat="1" x14ac:dyDescent="0.3">
      <c r="A453"/>
      <c r="B453" s="97"/>
    </row>
    <row r="454" spans="1:2" s="32" customFormat="1" x14ac:dyDescent="0.3">
      <c r="A454"/>
      <c r="B454" s="97"/>
    </row>
    <row r="455" spans="1:2" s="32" customFormat="1" x14ac:dyDescent="0.3">
      <c r="A455"/>
      <c r="B455" s="97"/>
    </row>
    <row r="456" spans="1:2" s="32" customFormat="1" x14ac:dyDescent="0.3">
      <c r="A456"/>
      <c r="B456" s="97"/>
    </row>
    <row r="457" spans="1:2" s="32" customFormat="1" x14ac:dyDescent="0.3">
      <c r="A457"/>
      <c r="B457" s="97"/>
    </row>
    <row r="458" spans="1:2" s="32" customFormat="1" x14ac:dyDescent="0.3">
      <c r="A458"/>
      <c r="B458" s="97"/>
    </row>
    <row r="459" spans="1:2" s="32" customFormat="1" x14ac:dyDescent="0.3">
      <c r="A459"/>
      <c r="B459" s="97"/>
    </row>
    <row r="460" spans="1:2" s="32" customFormat="1" x14ac:dyDescent="0.3">
      <c r="A460"/>
      <c r="B460" s="97"/>
    </row>
    <row r="461" spans="1:2" s="32" customFormat="1" x14ac:dyDescent="0.3">
      <c r="A461"/>
      <c r="B461" s="97"/>
    </row>
    <row r="462" spans="1:2" s="32" customFormat="1" x14ac:dyDescent="0.3">
      <c r="A462"/>
      <c r="B462" s="97"/>
    </row>
    <row r="463" spans="1:2" s="32" customFormat="1" x14ac:dyDescent="0.3">
      <c r="A463"/>
      <c r="B463" s="97"/>
    </row>
    <row r="464" spans="1:2" s="32" customFormat="1" x14ac:dyDescent="0.3">
      <c r="A464"/>
      <c r="B464" s="97"/>
    </row>
    <row r="465" spans="1:2" s="32" customFormat="1" x14ac:dyDescent="0.3">
      <c r="A465"/>
      <c r="B465" s="97"/>
    </row>
    <row r="466" spans="1:2" s="32" customFormat="1" x14ac:dyDescent="0.3">
      <c r="A466"/>
      <c r="B466" s="97"/>
    </row>
    <row r="467" spans="1:2" s="32" customFormat="1" x14ac:dyDescent="0.3">
      <c r="A467"/>
      <c r="B467" s="97"/>
    </row>
    <row r="468" spans="1:2" s="32" customFormat="1" x14ac:dyDescent="0.3">
      <c r="A468"/>
      <c r="B468" s="97"/>
    </row>
    <row r="469" spans="1:2" s="32" customFormat="1" x14ac:dyDescent="0.3">
      <c r="A469"/>
      <c r="B469" s="97"/>
    </row>
    <row r="470" spans="1:2" s="32" customFormat="1" x14ac:dyDescent="0.3">
      <c r="A470"/>
      <c r="B470" s="97"/>
    </row>
    <row r="471" spans="1:2" s="32" customFormat="1" x14ac:dyDescent="0.3">
      <c r="A471"/>
      <c r="B471" s="97"/>
    </row>
    <row r="472" spans="1:2" s="32" customFormat="1" x14ac:dyDescent="0.3">
      <c r="A472"/>
      <c r="B472" s="97"/>
    </row>
    <row r="473" spans="1:2" s="32" customFormat="1" x14ac:dyDescent="0.3">
      <c r="A473"/>
      <c r="B473" s="97"/>
    </row>
    <row r="474" spans="1:2" s="32" customFormat="1" x14ac:dyDescent="0.3">
      <c r="A474"/>
      <c r="B474" s="97"/>
    </row>
    <row r="475" spans="1:2" s="32" customFormat="1" x14ac:dyDescent="0.3">
      <c r="A475"/>
      <c r="B475" s="97"/>
    </row>
    <row r="476" spans="1:2" s="32" customFormat="1" x14ac:dyDescent="0.3">
      <c r="A476"/>
      <c r="B476" s="97"/>
    </row>
    <row r="477" spans="1:2" s="32" customFormat="1" x14ac:dyDescent="0.3">
      <c r="A477"/>
      <c r="B477" s="97"/>
    </row>
    <row r="478" spans="1:2" s="32" customFormat="1" x14ac:dyDescent="0.3">
      <c r="A478"/>
      <c r="B478" s="97"/>
    </row>
    <row r="479" spans="1:2" s="32" customFormat="1" x14ac:dyDescent="0.3">
      <c r="A479"/>
      <c r="B479" s="97"/>
    </row>
    <row r="480" spans="1:2" s="32" customFormat="1" x14ac:dyDescent="0.3">
      <c r="A480"/>
      <c r="B480" s="97"/>
    </row>
    <row r="481" spans="1:2" s="32" customFormat="1" x14ac:dyDescent="0.3">
      <c r="A481"/>
      <c r="B481" s="97"/>
    </row>
    <row r="482" spans="1:2" s="32" customFormat="1" x14ac:dyDescent="0.3">
      <c r="A482"/>
      <c r="B482" s="97"/>
    </row>
    <row r="483" spans="1:2" s="32" customFormat="1" x14ac:dyDescent="0.3">
      <c r="A483"/>
      <c r="B483" s="97"/>
    </row>
    <row r="484" spans="1:2" s="32" customFormat="1" x14ac:dyDescent="0.3">
      <c r="A484"/>
      <c r="B484" s="97"/>
    </row>
    <row r="485" spans="1:2" s="32" customFormat="1" x14ac:dyDescent="0.3">
      <c r="A485"/>
      <c r="B485" s="97"/>
    </row>
    <row r="486" spans="1:2" s="32" customFormat="1" x14ac:dyDescent="0.3">
      <c r="A486"/>
      <c r="B486" s="97"/>
    </row>
    <row r="487" spans="1:2" s="32" customFormat="1" x14ac:dyDescent="0.3">
      <c r="A487"/>
      <c r="B487" s="97"/>
    </row>
    <row r="488" spans="1:2" s="32" customFormat="1" x14ac:dyDescent="0.3">
      <c r="A488"/>
      <c r="B488" s="97"/>
    </row>
    <row r="489" spans="1:2" s="32" customFormat="1" x14ac:dyDescent="0.3">
      <c r="A489"/>
      <c r="B489" s="97"/>
    </row>
    <row r="490" spans="1:2" s="32" customFormat="1" x14ac:dyDescent="0.3">
      <c r="A490"/>
      <c r="B490" s="97"/>
    </row>
    <row r="491" spans="1:2" s="32" customFormat="1" x14ac:dyDescent="0.3">
      <c r="A491"/>
      <c r="B491" s="97"/>
    </row>
    <row r="492" spans="1:2" s="32" customFormat="1" x14ac:dyDescent="0.3">
      <c r="A492"/>
      <c r="B492" s="97"/>
    </row>
    <row r="493" spans="1:2" s="32" customFormat="1" x14ac:dyDescent="0.3">
      <c r="A493"/>
      <c r="B493" s="97"/>
    </row>
    <row r="494" spans="1:2" s="32" customFormat="1" x14ac:dyDescent="0.3">
      <c r="A494"/>
      <c r="B494" s="97"/>
    </row>
    <row r="495" spans="1:2" s="32" customFormat="1" x14ac:dyDescent="0.3">
      <c r="A495"/>
      <c r="B495" s="97"/>
    </row>
    <row r="496" spans="1:2" s="32" customFormat="1" x14ac:dyDescent="0.3">
      <c r="A496"/>
      <c r="B496" s="97"/>
    </row>
    <row r="497" spans="1:2" s="32" customFormat="1" x14ac:dyDescent="0.3">
      <c r="A497"/>
      <c r="B497" s="97"/>
    </row>
    <row r="498" spans="1:2" s="32" customFormat="1" x14ac:dyDescent="0.3">
      <c r="A498"/>
      <c r="B498" s="97"/>
    </row>
    <row r="499" spans="1:2" s="32" customFormat="1" x14ac:dyDescent="0.3">
      <c r="A499"/>
      <c r="B499" s="97"/>
    </row>
    <row r="500" spans="1:2" s="32" customFormat="1" x14ac:dyDescent="0.3">
      <c r="A500"/>
      <c r="B500" s="97"/>
    </row>
    <row r="501" spans="1:2" s="32" customFormat="1" x14ac:dyDescent="0.3">
      <c r="A501"/>
      <c r="B501" s="97"/>
    </row>
    <row r="502" spans="1:2" s="32" customFormat="1" x14ac:dyDescent="0.3">
      <c r="A502"/>
      <c r="B502" s="97"/>
    </row>
    <row r="503" spans="1:2" s="32" customFormat="1" x14ac:dyDescent="0.3">
      <c r="A503"/>
      <c r="B503" s="97"/>
    </row>
    <row r="504" spans="1:2" s="32" customFormat="1" x14ac:dyDescent="0.3">
      <c r="A504"/>
      <c r="B504" s="97"/>
    </row>
    <row r="505" spans="1:2" s="32" customFormat="1" x14ac:dyDescent="0.3">
      <c r="A505"/>
      <c r="B505" s="97"/>
    </row>
    <row r="506" spans="1:2" s="32" customFormat="1" x14ac:dyDescent="0.3">
      <c r="A506"/>
      <c r="B506" s="97"/>
    </row>
    <row r="507" spans="1:2" s="32" customFormat="1" x14ac:dyDescent="0.3">
      <c r="A507"/>
      <c r="B507" s="97"/>
    </row>
    <row r="508" spans="1:2" s="32" customFormat="1" x14ac:dyDescent="0.3">
      <c r="A508"/>
      <c r="B508" s="97"/>
    </row>
    <row r="509" spans="1:2" s="32" customFormat="1" x14ac:dyDescent="0.3">
      <c r="A509"/>
      <c r="B509" s="97"/>
    </row>
    <row r="510" spans="1:2" s="32" customFormat="1" x14ac:dyDescent="0.3">
      <c r="A510"/>
      <c r="B510" s="97"/>
    </row>
    <row r="511" spans="1:2" s="32" customFormat="1" x14ac:dyDescent="0.3">
      <c r="A511"/>
      <c r="B511" s="97"/>
    </row>
    <row r="512" spans="1:2" s="32" customFormat="1" x14ac:dyDescent="0.3">
      <c r="A512"/>
      <c r="B512" s="97"/>
    </row>
    <row r="513" spans="1:2" s="32" customFormat="1" x14ac:dyDescent="0.3">
      <c r="A513"/>
      <c r="B513" s="97"/>
    </row>
    <row r="514" spans="1:2" s="32" customFormat="1" x14ac:dyDescent="0.3">
      <c r="A514"/>
      <c r="B514" s="97"/>
    </row>
    <row r="515" spans="1:2" s="32" customFormat="1" x14ac:dyDescent="0.3">
      <c r="A515"/>
      <c r="B515" s="97"/>
    </row>
    <row r="516" spans="1:2" s="32" customFormat="1" x14ac:dyDescent="0.3">
      <c r="A516"/>
      <c r="B516" s="97"/>
    </row>
    <row r="517" spans="1:2" s="32" customFormat="1" x14ac:dyDescent="0.3">
      <c r="A517"/>
      <c r="B517" s="97"/>
    </row>
    <row r="518" spans="1:2" s="32" customFormat="1" x14ac:dyDescent="0.3">
      <c r="A518"/>
      <c r="B518" s="97"/>
    </row>
    <row r="519" spans="1:2" s="32" customFormat="1" x14ac:dyDescent="0.3">
      <c r="A519"/>
      <c r="B519" s="97"/>
    </row>
    <row r="520" spans="1:2" s="32" customFormat="1" x14ac:dyDescent="0.3">
      <c r="A520"/>
      <c r="B520" s="97"/>
    </row>
    <row r="521" spans="1:2" s="32" customFormat="1" x14ac:dyDescent="0.3">
      <c r="A521"/>
      <c r="B521" s="97"/>
    </row>
    <row r="522" spans="1:2" s="32" customFormat="1" x14ac:dyDescent="0.3">
      <c r="A522"/>
      <c r="B522" s="97"/>
    </row>
    <row r="523" spans="1:2" s="32" customFormat="1" x14ac:dyDescent="0.3">
      <c r="A523"/>
      <c r="B523" s="97"/>
    </row>
    <row r="524" spans="1:2" s="32" customFormat="1" x14ac:dyDescent="0.3">
      <c r="A524"/>
      <c r="B524" s="97"/>
    </row>
    <row r="525" spans="1:2" s="32" customFormat="1" x14ac:dyDescent="0.3">
      <c r="A525"/>
      <c r="B525" s="97"/>
    </row>
    <row r="526" spans="1:2" s="32" customFormat="1" x14ac:dyDescent="0.3">
      <c r="A526"/>
      <c r="B526" s="97"/>
    </row>
    <row r="527" spans="1:2" s="32" customFormat="1" x14ac:dyDescent="0.3">
      <c r="A527"/>
      <c r="B527" s="97"/>
    </row>
    <row r="528" spans="1:2" s="32" customFormat="1" x14ac:dyDescent="0.3">
      <c r="A528"/>
      <c r="B528" s="97"/>
    </row>
    <row r="529" spans="1:2" s="32" customFormat="1" x14ac:dyDescent="0.3">
      <c r="A529"/>
      <c r="B529" s="97"/>
    </row>
    <row r="530" spans="1:2" s="32" customFormat="1" x14ac:dyDescent="0.3">
      <c r="A530"/>
      <c r="B530" s="97"/>
    </row>
    <row r="531" spans="1:2" s="32" customFormat="1" x14ac:dyDescent="0.3">
      <c r="A531"/>
      <c r="B531" s="97"/>
    </row>
    <row r="532" spans="1:2" s="32" customFormat="1" x14ac:dyDescent="0.3">
      <c r="A532"/>
      <c r="B532" s="97"/>
    </row>
    <row r="533" spans="1:2" s="32" customFormat="1" x14ac:dyDescent="0.3">
      <c r="A533"/>
      <c r="B533" s="97"/>
    </row>
    <row r="534" spans="1:2" s="32" customFormat="1" x14ac:dyDescent="0.3">
      <c r="A534"/>
      <c r="B534" s="97"/>
    </row>
    <row r="535" spans="1:2" s="32" customFormat="1" x14ac:dyDescent="0.3">
      <c r="A535"/>
      <c r="B535" s="97"/>
    </row>
    <row r="536" spans="1:2" s="32" customFormat="1" x14ac:dyDescent="0.3">
      <c r="A536"/>
      <c r="B536" s="97"/>
    </row>
    <row r="537" spans="1:2" s="32" customFormat="1" x14ac:dyDescent="0.3">
      <c r="A537"/>
      <c r="B537" s="97"/>
    </row>
    <row r="538" spans="1:2" s="32" customFormat="1" x14ac:dyDescent="0.3">
      <c r="A538"/>
      <c r="B538" s="97"/>
    </row>
    <row r="539" spans="1:2" s="32" customFormat="1" x14ac:dyDescent="0.3">
      <c r="A539"/>
      <c r="B539" s="97"/>
    </row>
    <row r="540" spans="1:2" s="32" customFormat="1" x14ac:dyDescent="0.3">
      <c r="A540"/>
      <c r="B540" s="97"/>
    </row>
    <row r="541" spans="1:2" s="32" customFormat="1" x14ac:dyDescent="0.3">
      <c r="A541"/>
      <c r="B541" s="97"/>
    </row>
    <row r="542" spans="1:2" s="32" customFormat="1" x14ac:dyDescent="0.3">
      <c r="A542"/>
      <c r="B542" s="97"/>
    </row>
    <row r="543" spans="1:2" s="32" customFormat="1" x14ac:dyDescent="0.3">
      <c r="A543"/>
      <c r="B543" s="97"/>
    </row>
    <row r="544" spans="1:2" s="32" customFormat="1" x14ac:dyDescent="0.3">
      <c r="A544"/>
      <c r="B544" s="97"/>
    </row>
    <row r="545" spans="1:2" s="32" customFormat="1" x14ac:dyDescent="0.3">
      <c r="A545"/>
      <c r="B545" s="97"/>
    </row>
    <row r="546" spans="1:2" s="32" customFormat="1" x14ac:dyDescent="0.3">
      <c r="A546"/>
      <c r="B546" s="97"/>
    </row>
    <row r="547" spans="1:2" s="32" customFormat="1" x14ac:dyDescent="0.3">
      <c r="A547"/>
      <c r="B547" s="97"/>
    </row>
    <row r="548" spans="1:2" s="32" customFormat="1" x14ac:dyDescent="0.3">
      <c r="A548"/>
      <c r="B548" s="97"/>
    </row>
    <row r="549" spans="1:2" s="32" customFormat="1" x14ac:dyDescent="0.3">
      <c r="A549"/>
      <c r="B549" s="97"/>
    </row>
    <row r="550" spans="1:2" s="32" customFormat="1" x14ac:dyDescent="0.3">
      <c r="A550"/>
      <c r="B550" s="97"/>
    </row>
    <row r="551" spans="1:2" s="32" customFormat="1" x14ac:dyDescent="0.3">
      <c r="A551"/>
      <c r="B551" s="97"/>
    </row>
    <row r="552" spans="1:2" s="32" customFormat="1" x14ac:dyDescent="0.3">
      <c r="A552"/>
      <c r="B552" s="97"/>
    </row>
    <row r="553" spans="1:2" s="32" customFormat="1" x14ac:dyDescent="0.3">
      <c r="A553"/>
      <c r="B553" s="97"/>
    </row>
    <row r="554" spans="1:2" s="32" customFormat="1" x14ac:dyDescent="0.3">
      <c r="A554"/>
      <c r="B554" s="97"/>
    </row>
    <row r="555" spans="1:2" s="32" customFormat="1" x14ac:dyDescent="0.3">
      <c r="A555"/>
      <c r="B555" s="97"/>
    </row>
    <row r="556" spans="1:2" s="32" customFormat="1" x14ac:dyDescent="0.3">
      <c r="A556"/>
      <c r="B556" s="97"/>
    </row>
    <row r="557" spans="1:2" s="32" customFormat="1" x14ac:dyDescent="0.3">
      <c r="A557"/>
      <c r="B557" s="97"/>
    </row>
    <row r="558" spans="1:2" s="32" customFormat="1" x14ac:dyDescent="0.3">
      <c r="A558"/>
      <c r="B558" s="97"/>
    </row>
    <row r="559" spans="1:2" s="32" customFormat="1" x14ac:dyDescent="0.3">
      <c r="A559"/>
      <c r="B559" s="97"/>
    </row>
    <row r="560" spans="1:2" s="32" customFormat="1" x14ac:dyDescent="0.3">
      <c r="A560"/>
      <c r="B560" s="97"/>
    </row>
    <row r="561" spans="1:2" s="32" customFormat="1" x14ac:dyDescent="0.3">
      <c r="A561"/>
      <c r="B561" s="97"/>
    </row>
    <row r="562" spans="1:2" s="32" customFormat="1" x14ac:dyDescent="0.3">
      <c r="A562"/>
      <c r="B562" s="97"/>
    </row>
    <row r="563" spans="1:2" s="32" customFormat="1" x14ac:dyDescent="0.3">
      <c r="A563"/>
      <c r="B563" s="97"/>
    </row>
    <row r="564" spans="1:2" s="32" customFormat="1" x14ac:dyDescent="0.3">
      <c r="A564"/>
      <c r="B564" s="97"/>
    </row>
    <row r="565" spans="1:2" s="32" customFormat="1" x14ac:dyDescent="0.3">
      <c r="A565"/>
      <c r="B565" s="97"/>
    </row>
    <row r="566" spans="1:2" s="32" customFormat="1" x14ac:dyDescent="0.3">
      <c r="A566"/>
      <c r="B566" s="97"/>
    </row>
    <row r="567" spans="1:2" s="32" customFormat="1" x14ac:dyDescent="0.3">
      <c r="A567"/>
      <c r="B567" s="97"/>
    </row>
    <row r="568" spans="1:2" s="32" customFormat="1" x14ac:dyDescent="0.3">
      <c r="A568"/>
      <c r="B568" s="97"/>
    </row>
    <row r="569" spans="1:2" s="32" customFormat="1" x14ac:dyDescent="0.3">
      <c r="A569"/>
      <c r="B569" s="97"/>
    </row>
    <row r="570" spans="1:2" s="32" customFormat="1" x14ac:dyDescent="0.3">
      <c r="A570"/>
      <c r="B570" s="97"/>
    </row>
    <row r="571" spans="1:2" s="32" customFormat="1" x14ac:dyDescent="0.3">
      <c r="A571"/>
      <c r="B571" s="97"/>
    </row>
    <row r="572" spans="1:2" s="32" customFormat="1" x14ac:dyDescent="0.3">
      <c r="A572"/>
      <c r="B572" s="97"/>
    </row>
    <row r="573" spans="1:2" s="32" customFormat="1" x14ac:dyDescent="0.3">
      <c r="A573"/>
      <c r="B573" s="97"/>
    </row>
    <row r="574" spans="1:2" s="32" customFormat="1" x14ac:dyDescent="0.3">
      <c r="A574"/>
      <c r="B574" s="97"/>
    </row>
    <row r="575" spans="1:2" s="32" customFormat="1" x14ac:dyDescent="0.3">
      <c r="A575"/>
      <c r="B575" s="97"/>
    </row>
    <row r="576" spans="1:2" s="32" customFormat="1" x14ac:dyDescent="0.3">
      <c r="A576"/>
      <c r="B576" s="97"/>
    </row>
    <row r="577" spans="1:2" s="32" customFormat="1" x14ac:dyDescent="0.3">
      <c r="A577"/>
      <c r="B577" s="97"/>
    </row>
    <row r="578" spans="1:2" s="32" customFormat="1" x14ac:dyDescent="0.3">
      <c r="A578"/>
      <c r="B578" s="97"/>
    </row>
    <row r="579" spans="1:2" s="32" customFormat="1" x14ac:dyDescent="0.3">
      <c r="A579"/>
      <c r="B579" s="97"/>
    </row>
    <row r="580" spans="1:2" s="32" customFormat="1" x14ac:dyDescent="0.3">
      <c r="A580"/>
      <c r="B580" s="97"/>
    </row>
    <row r="581" spans="1:2" s="32" customFormat="1" x14ac:dyDescent="0.3">
      <c r="A581"/>
      <c r="B581" s="97"/>
    </row>
    <row r="582" spans="1:2" s="32" customFormat="1" x14ac:dyDescent="0.3">
      <c r="A582"/>
      <c r="B582" s="97"/>
    </row>
    <row r="583" spans="1:2" s="32" customFormat="1" x14ac:dyDescent="0.3">
      <c r="A583"/>
      <c r="B583" s="97"/>
    </row>
    <row r="584" spans="1:2" s="32" customFormat="1" x14ac:dyDescent="0.3">
      <c r="A584"/>
      <c r="B584" s="97"/>
    </row>
    <row r="585" spans="1:2" s="32" customFormat="1" x14ac:dyDescent="0.3">
      <c r="A585"/>
      <c r="B585" s="97"/>
    </row>
    <row r="586" spans="1:2" s="32" customFormat="1" x14ac:dyDescent="0.3">
      <c r="A586"/>
      <c r="B586" s="97"/>
    </row>
    <row r="587" spans="1:2" s="32" customFormat="1" x14ac:dyDescent="0.3">
      <c r="A587"/>
      <c r="B587" s="97"/>
    </row>
    <row r="588" spans="1:2" s="32" customFormat="1" x14ac:dyDescent="0.3">
      <c r="A588"/>
      <c r="B588" s="97"/>
    </row>
    <row r="589" spans="1:2" s="32" customFormat="1" x14ac:dyDescent="0.3">
      <c r="A589"/>
      <c r="B589" s="97"/>
    </row>
    <row r="590" spans="1:2" s="32" customFormat="1" x14ac:dyDescent="0.3">
      <c r="A590"/>
      <c r="B590" s="97"/>
    </row>
    <row r="591" spans="1:2" s="32" customFormat="1" x14ac:dyDescent="0.3">
      <c r="A591"/>
      <c r="B591" s="97"/>
    </row>
    <row r="592" spans="1:2" s="32" customFormat="1" x14ac:dyDescent="0.3">
      <c r="A592"/>
      <c r="B592" s="97"/>
    </row>
    <row r="593" spans="1:2" s="32" customFormat="1" x14ac:dyDescent="0.3">
      <c r="A593"/>
      <c r="B593" s="97"/>
    </row>
    <row r="594" spans="1:2" s="32" customFormat="1" x14ac:dyDescent="0.3">
      <c r="A594"/>
      <c r="B594" s="97"/>
    </row>
    <row r="595" spans="1:2" s="32" customFormat="1" x14ac:dyDescent="0.3">
      <c r="A595"/>
      <c r="B595" s="97"/>
    </row>
    <row r="596" spans="1:2" s="32" customFormat="1" x14ac:dyDescent="0.3">
      <c r="A596"/>
      <c r="B596" s="97"/>
    </row>
    <row r="597" spans="1:2" s="32" customFormat="1" x14ac:dyDescent="0.3">
      <c r="A597"/>
      <c r="B597" s="97"/>
    </row>
    <row r="598" spans="1:2" s="32" customFormat="1" x14ac:dyDescent="0.3">
      <c r="A598"/>
      <c r="B598" s="97"/>
    </row>
    <row r="599" spans="1:2" s="32" customFormat="1" x14ac:dyDescent="0.3">
      <c r="A599"/>
      <c r="B599" s="97"/>
    </row>
    <row r="600" spans="1:2" s="32" customFormat="1" x14ac:dyDescent="0.3">
      <c r="A600"/>
      <c r="B600" s="97"/>
    </row>
    <row r="601" spans="1:2" s="32" customFormat="1" x14ac:dyDescent="0.3">
      <c r="A601"/>
      <c r="B601" s="97"/>
    </row>
    <row r="602" spans="1:2" s="32" customFormat="1" x14ac:dyDescent="0.3">
      <c r="A602"/>
      <c r="B602" s="97"/>
    </row>
    <row r="603" spans="1:2" s="32" customFormat="1" x14ac:dyDescent="0.3">
      <c r="A603"/>
      <c r="B603" s="97"/>
    </row>
    <row r="604" spans="1:2" s="32" customFormat="1" x14ac:dyDescent="0.3">
      <c r="A604"/>
      <c r="B604" s="97"/>
    </row>
    <row r="605" spans="1:2" s="32" customFormat="1" x14ac:dyDescent="0.3">
      <c r="A605"/>
      <c r="B605" s="97"/>
    </row>
    <row r="606" spans="1:2" s="32" customFormat="1" x14ac:dyDescent="0.3">
      <c r="A606"/>
      <c r="B606" s="97"/>
    </row>
    <row r="607" spans="1:2" s="32" customFormat="1" x14ac:dyDescent="0.3">
      <c r="A607"/>
      <c r="B607" s="97"/>
    </row>
    <row r="608" spans="1:2" s="32" customFormat="1" x14ac:dyDescent="0.3">
      <c r="A608"/>
      <c r="B608" s="97"/>
    </row>
    <row r="609" spans="1:2" s="32" customFormat="1" x14ac:dyDescent="0.3">
      <c r="A609"/>
      <c r="B609" s="97"/>
    </row>
    <row r="610" spans="1:2" s="32" customFormat="1" x14ac:dyDescent="0.3">
      <c r="A610"/>
      <c r="B610" s="97"/>
    </row>
    <row r="611" spans="1:2" s="32" customFormat="1" x14ac:dyDescent="0.3">
      <c r="A611"/>
      <c r="B611" s="97"/>
    </row>
    <row r="612" spans="1:2" s="32" customFormat="1" x14ac:dyDescent="0.3">
      <c r="A612"/>
      <c r="B612" s="97"/>
    </row>
    <row r="613" spans="1:2" s="32" customFormat="1" x14ac:dyDescent="0.3">
      <c r="A613"/>
      <c r="B613" s="97"/>
    </row>
    <row r="614" spans="1:2" s="32" customFormat="1" x14ac:dyDescent="0.3">
      <c r="A614"/>
      <c r="B614" s="97"/>
    </row>
    <row r="615" spans="1:2" s="32" customFormat="1" x14ac:dyDescent="0.3">
      <c r="A615"/>
      <c r="B615" s="97"/>
    </row>
    <row r="616" spans="1:2" s="32" customFormat="1" x14ac:dyDescent="0.3">
      <c r="A616"/>
      <c r="B616" s="97"/>
    </row>
    <row r="617" spans="1:2" s="32" customFormat="1" x14ac:dyDescent="0.3">
      <c r="A617"/>
      <c r="B617" s="97"/>
    </row>
    <row r="618" spans="1:2" s="32" customFormat="1" x14ac:dyDescent="0.3">
      <c r="A618"/>
      <c r="B618" s="97"/>
    </row>
    <row r="619" spans="1:2" s="32" customFormat="1" x14ac:dyDescent="0.3">
      <c r="A619"/>
      <c r="B619" s="97"/>
    </row>
    <row r="620" spans="1:2" s="32" customFormat="1" x14ac:dyDescent="0.3">
      <c r="A620"/>
      <c r="B620" s="97"/>
    </row>
    <row r="621" spans="1:2" s="32" customFormat="1" x14ac:dyDescent="0.3">
      <c r="A621"/>
      <c r="B621" s="97"/>
    </row>
    <row r="622" spans="1:2" s="32" customFormat="1" x14ac:dyDescent="0.3">
      <c r="A622"/>
      <c r="B622" s="97"/>
    </row>
    <row r="623" spans="1:2" s="32" customFormat="1" x14ac:dyDescent="0.3">
      <c r="A623"/>
      <c r="B623" s="97"/>
    </row>
    <row r="624" spans="1:2" s="32" customFormat="1" x14ac:dyDescent="0.3">
      <c r="A624"/>
      <c r="B624" s="97"/>
    </row>
    <row r="625" spans="1:2" s="32" customFormat="1" x14ac:dyDescent="0.3">
      <c r="A625"/>
      <c r="B625" s="97"/>
    </row>
    <row r="626" spans="1:2" s="32" customFormat="1" x14ac:dyDescent="0.3">
      <c r="A626"/>
      <c r="B626" s="97"/>
    </row>
    <row r="627" spans="1:2" s="32" customFormat="1" x14ac:dyDescent="0.3">
      <c r="A627"/>
      <c r="B627" s="97"/>
    </row>
    <row r="628" spans="1:2" s="32" customFormat="1" x14ac:dyDescent="0.3">
      <c r="A628"/>
      <c r="B628" s="97"/>
    </row>
    <row r="629" spans="1:2" s="32" customFormat="1" x14ac:dyDescent="0.3">
      <c r="A629"/>
      <c r="B629" s="97"/>
    </row>
    <row r="630" spans="1:2" s="32" customFormat="1" x14ac:dyDescent="0.3">
      <c r="A630"/>
      <c r="B630" s="97"/>
    </row>
    <row r="631" spans="1:2" s="32" customFormat="1" x14ac:dyDescent="0.3">
      <c r="A631"/>
      <c r="B631" s="97"/>
    </row>
    <row r="632" spans="1:2" s="32" customFormat="1" x14ac:dyDescent="0.3">
      <c r="A632"/>
      <c r="B632" s="97"/>
    </row>
    <row r="633" spans="1:2" s="32" customFormat="1" x14ac:dyDescent="0.3">
      <c r="A633"/>
      <c r="B633" s="97"/>
    </row>
    <row r="634" spans="1:2" s="32" customFormat="1" x14ac:dyDescent="0.3">
      <c r="A634"/>
      <c r="B634" s="97"/>
    </row>
    <row r="635" spans="1:2" s="32" customFormat="1" x14ac:dyDescent="0.3">
      <c r="A635"/>
      <c r="B635" s="97"/>
    </row>
    <row r="636" spans="1:2" s="32" customFormat="1" x14ac:dyDescent="0.3">
      <c r="A636"/>
      <c r="B636" s="97"/>
    </row>
    <row r="637" spans="1:2" s="32" customFormat="1" x14ac:dyDescent="0.3">
      <c r="A637"/>
      <c r="B637" s="97"/>
    </row>
    <row r="638" spans="1:2" s="32" customFormat="1" x14ac:dyDescent="0.3">
      <c r="A638"/>
      <c r="B638" s="97"/>
    </row>
    <row r="639" spans="1:2" s="32" customFormat="1" x14ac:dyDescent="0.3">
      <c r="A639"/>
      <c r="B639" s="97"/>
    </row>
    <row r="640" spans="1:2" s="32" customFormat="1" x14ac:dyDescent="0.3">
      <c r="A640"/>
      <c r="B640" s="97"/>
    </row>
    <row r="641" spans="1:2" s="32" customFormat="1" x14ac:dyDescent="0.3">
      <c r="A641"/>
      <c r="B641" s="97"/>
    </row>
    <row r="642" spans="1:2" s="32" customFormat="1" x14ac:dyDescent="0.3">
      <c r="A642"/>
      <c r="B642" s="97"/>
    </row>
    <row r="643" spans="1:2" s="32" customFormat="1" x14ac:dyDescent="0.3">
      <c r="A643"/>
      <c r="B643" s="97"/>
    </row>
    <row r="644" spans="1:2" s="32" customFormat="1" x14ac:dyDescent="0.3">
      <c r="A644"/>
      <c r="B644" s="97"/>
    </row>
    <row r="645" spans="1:2" s="32" customFormat="1" x14ac:dyDescent="0.3">
      <c r="A645"/>
      <c r="B645" s="97"/>
    </row>
    <row r="646" spans="1:2" s="32" customFormat="1" x14ac:dyDescent="0.3">
      <c r="A646"/>
      <c r="B646" s="97"/>
    </row>
    <row r="647" spans="1:2" s="32" customFormat="1" x14ac:dyDescent="0.3">
      <c r="A647"/>
      <c r="B647" s="97"/>
    </row>
    <row r="648" spans="1:2" s="32" customFormat="1" x14ac:dyDescent="0.3">
      <c r="A648"/>
      <c r="B648" s="97"/>
    </row>
    <row r="649" spans="1:2" s="32" customFormat="1" x14ac:dyDescent="0.3">
      <c r="A649"/>
      <c r="B649" s="97"/>
    </row>
    <row r="650" spans="1:2" s="32" customFormat="1" x14ac:dyDescent="0.3">
      <c r="A650"/>
      <c r="B650" s="97"/>
    </row>
    <row r="651" spans="1:2" s="32" customFormat="1" x14ac:dyDescent="0.3">
      <c r="A651"/>
      <c r="B651" s="97"/>
    </row>
    <row r="652" spans="1:2" s="32" customFormat="1" x14ac:dyDescent="0.3">
      <c r="A652"/>
      <c r="B652" s="97"/>
    </row>
    <row r="653" spans="1:2" s="32" customFormat="1" x14ac:dyDescent="0.3">
      <c r="A653"/>
      <c r="B653" s="97"/>
    </row>
    <row r="654" spans="1:2" s="32" customFormat="1" x14ac:dyDescent="0.3">
      <c r="A654"/>
      <c r="B654" s="97"/>
    </row>
    <row r="655" spans="1:2" s="32" customFormat="1" x14ac:dyDescent="0.3">
      <c r="A655"/>
      <c r="B655" s="97"/>
    </row>
    <row r="656" spans="1:2" s="32" customFormat="1" x14ac:dyDescent="0.3">
      <c r="A656"/>
      <c r="B656" s="97"/>
    </row>
    <row r="657" spans="1:2" s="32" customFormat="1" x14ac:dyDescent="0.3">
      <c r="A657"/>
      <c r="B657" s="97"/>
    </row>
    <row r="658" spans="1:2" s="32" customFormat="1" x14ac:dyDescent="0.3">
      <c r="A658"/>
      <c r="B658" s="97"/>
    </row>
    <row r="659" spans="1:2" s="32" customFormat="1" x14ac:dyDescent="0.3">
      <c r="A659"/>
      <c r="B659" s="97"/>
    </row>
    <row r="660" spans="1:2" s="32" customFormat="1" x14ac:dyDescent="0.3">
      <c r="A660"/>
      <c r="B660" s="97"/>
    </row>
    <row r="661" spans="1:2" s="32" customFormat="1" x14ac:dyDescent="0.3">
      <c r="A661"/>
      <c r="B661" s="97"/>
    </row>
    <row r="662" spans="1:2" s="32" customFormat="1" x14ac:dyDescent="0.3">
      <c r="A662"/>
      <c r="B662" s="97"/>
    </row>
    <row r="663" spans="1:2" s="32" customFormat="1" x14ac:dyDescent="0.3">
      <c r="A663"/>
      <c r="B663" s="97"/>
    </row>
    <row r="664" spans="1:2" s="32" customFormat="1" x14ac:dyDescent="0.3">
      <c r="A664"/>
      <c r="B664" s="97"/>
    </row>
    <row r="665" spans="1:2" s="32" customFormat="1" x14ac:dyDescent="0.3">
      <c r="A665"/>
      <c r="B665" s="97"/>
    </row>
    <row r="666" spans="1:2" s="32" customFormat="1" x14ac:dyDescent="0.3">
      <c r="A666"/>
      <c r="B666" s="97"/>
    </row>
    <row r="667" spans="1:2" s="32" customFormat="1" x14ac:dyDescent="0.3">
      <c r="A667"/>
      <c r="B667" s="97"/>
    </row>
    <row r="668" spans="1:2" s="32" customFormat="1" x14ac:dyDescent="0.3">
      <c r="A668"/>
      <c r="B668" s="97"/>
    </row>
    <row r="669" spans="1:2" s="32" customFormat="1" x14ac:dyDescent="0.3">
      <c r="A669"/>
      <c r="B669" s="97"/>
    </row>
    <row r="670" spans="1:2" s="32" customFormat="1" x14ac:dyDescent="0.3">
      <c r="A670"/>
      <c r="B670" s="97"/>
    </row>
    <row r="671" spans="1:2" s="32" customFormat="1" x14ac:dyDescent="0.3">
      <c r="A671"/>
      <c r="B671" s="97"/>
    </row>
    <row r="672" spans="1:2" s="32" customFormat="1" x14ac:dyDescent="0.3">
      <c r="A672"/>
      <c r="B672" s="97"/>
    </row>
    <row r="673" spans="1:2" s="32" customFormat="1" x14ac:dyDescent="0.3">
      <c r="A673"/>
      <c r="B673" s="97"/>
    </row>
    <row r="674" spans="1:2" s="32" customFormat="1" x14ac:dyDescent="0.3">
      <c r="A674"/>
      <c r="B674" s="97"/>
    </row>
    <row r="675" spans="1:2" s="32" customFormat="1" x14ac:dyDescent="0.3">
      <c r="A675"/>
      <c r="B675" s="97"/>
    </row>
    <row r="676" spans="1:2" s="32" customFormat="1" x14ac:dyDescent="0.3">
      <c r="A676"/>
      <c r="B676" s="97"/>
    </row>
    <row r="677" spans="1:2" s="32" customFormat="1" x14ac:dyDescent="0.3">
      <c r="A677"/>
      <c r="B677" s="97"/>
    </row>
    <row r="678" spans="1:2" s="32" customFormat="1" x14ac:dyDescent="0.3">
      <c r="A678"/>
      <c r="B678" s="97"/>
    </row>
    <row r="679" spans="1:2" s="32" customFormat="1" x14ac:dyDescent="0.3">
      <c r="A679"/>
      <c r="B679" s="97"/>
    </row>
    <row r="680" spans="1:2" s="32" customFormat="1" x14ac:dyDescent="0.3">
      <c r="A680"/>
      <c r="B680" s="97"/>
    </row>
    <row r="681" spans="1:2" s="32" customFormat="1" x14ac:dyDescent="0.3">
      <c r="A681"/>
      <c r="B681" s="97"/>
    </row>
    <row r="682" spans="1:2" s="32" customFormat="1" x14ac:dyDescent="0.3">
      <c r="A682"/>
      <c r="B682" s="97"/>
    </row>
    <row r="683" spans="1:2" s="32" customFormat="1" x14ac:dyDescent="0.3">
      <c r="A683"/>
      <c r="B683" s="97"/>
    </row>
    <row r="684" spans="1:2" s="32" customFormat="1" x14ac:dyDescent="0.3">
      <c r="A684"/>
      <c r="B684" s="97"/>
    </row>
    <row r="685" spans="1:2" s="32" customFormat="1" x14ac:dyDescent="0.3">
      <c r="A685"/>
      <c r="B685" s="97"/>
    </row>
    <row r="686" spans="1:2" s="32" customFormat="1" x14ac:dyDescent="0.3">
      <c r="A686"/>
      <c r="B686" s="97"/>
    </row>
    <row r="687" spans="1:2" s="32" customFormat="1" x14ac:dyDescent="0.3">
      <c r="A687"/>
      <c r="B687" s="97"/>
    </row>
    <row r="688" spans="1:2" s="32" customFormat="1" x14ac:dyDescent="0.3">
      <c r="A688"/>
      <c r="B688" s="97"/>
    </row>
    <row r="689" spans="1:2" s="32" customFormat="1" x14ac:dyDescent="0.3">
      <c r="A689"/>
      <c r="B689" s="97"/>
    </row>
    <row r="690" spans="1:2" s="32" customFormat="1" x14ac:dyDescent="0.3">
      <c r="A690"/>
      <c r="B690" s="97"/>
    </row>
    <row r="691" spans="1:2" s="32" customFormat="1" x14ac:dyDescent="0.3">
      <c r="A691"/>
      <c r="B691" s="97"/>
    </row>
    <row r="692" spans="1:2" s="32" customFormat="1" x14ac:dyDescent="0.3">
      <c r="A692"/>
      <c r="B692" s="97"/>
    </row>
    <row r="693" spans="1:2" s="32" customFormat="1" x14ac:dyDescent="0.3">
      <c r="A693"/>
      <c r="B693" s="97"/>
    </row>
    <row r="694" spans="1:2" s="32" customFormat="1" x14ac:dyDescent="0.3">
      <c r="A694"/>
      <c r="B694" s="97"/>
    </row>
    <row r="695" spans="1:2" s="32" customFormat="1" x14ac:dyDescent="0.3">
      <c r="A695"/>
      <c r="B695" s="97"/>
    </row>
    <row r="696" spans="1:2" s="32" customFormat="1" x14ac:dyDescent="0.3">
      <c r="A696"/>
      <c r="B696" s="97"/>
    </row>
    <row r="697" spans="1:2" s="32" customFormat="1" x14ac:dyDescent="0.3">
      <c r="A697"/>
      <c r="B697" s="97"/>
    </row>
    <row r="698" spans="1:2" s="32" customFormat="1" x14ac:dyDescent="0.3">
      <c r="A698"/>
      <c r="B698" s="97"/>
    </row>
    <row r="699" spans="1:2" s="32" customFormat="1" x14ac:dyDescent="0.3">
      <c r="A699"/>
      <c r="B699" s="97"/>
    </row>
    <row r="700" spans="1:2" s="32" customFormat="1" x14ac:dyDescent="0.3">
      <c r="A700"/>
      <c r="B700" s="97"/>
    </row>
    <row r="701" spans="1:2" s="32" customFormat="1" x14ac:dyDescent="0.3">
      <c r="A701"/>
      <c r="B701" s="97"/>
    </row>
    <row r="702" spans="1:2" s="32" customFormat="1" x14ac:dyDescent="0.3">
      <c r="A702"/>
      <c r="B702" s="97"/>
    </row>
    <row r="703" spans="1:2" s="32" customFormat="1" x14ac:dyDescent="0.3">
      <c r="A703"/>
      <c r="B703" s="97"/>
    </row>
    <row r="704" spans="1:2" s="32" customFormat="1" x14ac:dyDescent="0.3">
      <c r="A704"/>
      <c r="B704" s="97"/>
    </row>
    <row r="705" spans="1:2" s="32" customFormat="1" x14ac:dyDescent="0.3">
      <c r="A705"/>
      <c r="B705" s="97"/>
    </row>
    <row r="706" spans="1:2" s="32" customFormat="1" x14ac:dyDescent="0.3">
      <c r="A706"/>
      <c r="B706" s="97"/>
    </row>
    <row r="707" spans="1:2" s="32" customFormat="1" x14ac:dyDescent="0.3">
      <c r="A707"/>
      <c r="B707" s="97"/>
    </row>
    <row r="708" spans="1:2" s="32" customFormat="1" x14ac:dyDescent="0.3">
      <c r="A708"/>
      <c r="B708" s="97"/>
    </row>
    <row r="709" spans="1:2" s="32" customFormat="1" x14ac:dyDescent="0.3">
      <c r="A709"/>
      <c r="B709" s="97"/>
    </row>
    <row r="710" spans="1:2" s="32" customFormat="1" x14ac:dyDescent="0.3">
      <c r="A710"/>
      <c r="B710" s="97"/>
    </row>
    <row r="711" spans="1:2" s="32" customFormat="1" x14ac:dyDescent="0.3">
      <c r="A711"/>
      <c r="B711" s="97"/>
    </row>
    <row r="712" spans="1:2" s="32" customFormat="1" x14ac:dyDescent="0.3">
      <c r="A712"/>
      <c r="B712" s="97"/>
    </row>
    <row r="713" spans="1:2" s="32" customFormat="1" x14ac:dyDescent="0.3">
      <c r="A713"/>
      <c r="B713" s="97"/>
    </row>
    <row r="714" spans="1:2" s="32" customFormat="1" x14ac:dyDescent="0.3">
      <c r="A714"/>
      <c r="B714" s="97"/>
    </row>
    <row r="715" spans="1:2" s="32" customFormat="1" x14ac:dyDescent="0.3">
      <c r="A715"/>
      <c r="B715" s="97"/>
    </row>
    <row r="716" spans="1:2" s="32" customFormat="1" x14ac:dyDescent="0.3">
      <c r="A716"/>
      <c r="B716" s="97"/>
    </row>
    <row r="717" spans="1:2" s="32" customFormat="1" x14ac:dyDescent="0.3">
      <c r="A717"/>
      <c r="B717" s="97"/>
    </row>
    <row r="718" spans="1:2" s="32" customFormat="1" x14ac:dyDescent="0.3">
      <c r="A718"/>
      <c r="B718" s="97"/>
    </row>
    <row r="719" spans="1:2" s="32" customFormat="1" x14ac:dyDescent="0.3">
      <c r="A719"/>
      <c r="B719" s="97"/>
    </row>
    <row r="720" spans="1:2" s="32" customFormat="1" x14ac:dyDescent="0.3">
      <c r="A720"/>
      <c r="B720" s="97"/>
    </row>
    <row r="721" spans="1:2" s="32" customFormat="1" x14ac:dyDescent="0.3">
      <c r="A721"/>
      <c r="B721" s="97"/>
    </row>
    <row r="722" spans="1:2" s="32" customFormat="1" x14ac:dyDescent="0.3">
      <c r="A722"/>
      <c r="B722" s="97"/>
    </row>
    <row r="723" spans="1:2" s="32" customFormat="1" x14ac:dyDescent="0.3">
      <c r="A723"/>
      <c r="B723" s="97"/>
    </row>
    <row r="724" spans="1:2" s="32" customFormat="1" x14ac:dyDescent="0.3">
      <c r="A724"/>
      <c r="B724" s="97"/>
    </row>
    <row r="725" spans="1:2" s="32" customFormat="1" x14ac:dyDescent="0.3">
      <c r="A725"/>
      <c r="B725" s="97"/>
    </row>
    <row r="726" spans="1:2" s="32" customFormat="1" x14ac:dyDescent="0.3">
      <c r="A726"/>
      <c r="B726" s="97"/>
    </row>
    <row r="727" spans="1:2" s="32" customFormat="1" x14ac:dyDescent="0.3">
      <c r="A727"/>
      <c r="B727" s="97"/>
    </row>
    <row r="728" spans="1:2" s="32" customFormat="1" x14ac:dyDescent="0.3">
      <c r="A728"/>
      <c r="B728" s="97"/>
    </row>
    <row r="729" spans="1:2" s="32" customFormat="1" x14ac:dyDescent="0.3">
      <c r="A729"/>
      <c r="B729" s="97"/>
    </row>
    <row r="730" spans="1:2" s="32" customFormat="1" x14ac:dyDescent="0.3">
      <c r="A730"/>
      <c r="B730" s="97"/>
    </row>
    <row r="731" spans="1:2" s="32" customFormat="1" x14ac:dyDescent="0.3">
      <c r="A731"/>
      <c r="B731" s="97"/>
    </row>
    <row r="732" spans="1:2" s="32" customFormat="1" x14ac:dyDescent="0.3">
      <c r="A732"/>
      <c r="B732" s="97"/>
    </row>
    <row r="733" spans="1:2" s="32" customFormat="1" x14ac:dyDescent="0.3">
      <c r="A733"/>
      <c r="B733" s="97"/>
    </row>
    <row r="734" spans="1:2" s="32" customFormat="1" x14ac:dyDescent="0.3">
      <c r="A734"/>
      <c r="B734" s="97"/>
    </row>
    <row r="735" spans="1:2" s="32" customFormat="1" x14ac:dyDescent="0.3">
      <c r="A735"/>
      <c r="B735" s="97"/>
    </row>
    <row r="736" spans="1:2" s="32" customFormat="1" x14ac:dyDescent="0.3">
      <c r="A736"/>
      <c r="B736" s="97"/>
    </row>
    <row r="737" spans="1:2" s="32" customFormat="1" x14ac:dyDescent="0.3">
      <c r="A737"/>
      <c r="B737" s="97"/>
    </row>
    <row r="738" spans="1:2" s="32" customFormat="1" x14ac:dyDescent="0.3">
      <c r="A738"/>
      <c r="B738" s="97"/>
    </row>
    <row r="739" spans="1:2" s="32" customFormat="1" x14ac:dyDescent="0.3">
      <c r="A739"/>
      <c r="B739" s="97"/>
    </row>
    <row r="740" spans="1:2" s="32" customFormat="1" x14ac:dyDescent="0.3">
      <c r="A740"/>
      <c r="B740" s="97"/>
    </row>
    <row r="741" spans="1:2" s="32" customFormat="1" x14ac:dyDescent="0.3">
      <c r="A741"/>
      <c r="B741" s="97"/>
    </row>
    <row r="742" spans="1:2" s="32" customFormat="1" x14ac:dyDescent="0.3">
      <c r="A742"/>
      <c r="B742" s="97"/>
    </row>
    <row r="743" spans="1:2" s="32" customFormat="1" x14ac:dyDescent="0.3">
      <c r="A743"/>
      <c r="B743" s="97"/>
    </row>
    <row r="744" spans="1:2" s="32" customFormat="1" x14ac:dyDescent="0.3">
      <c r="A744"/>
      <c r="B744" s="97"/>
    </row>
    <row r="745" spans="1:2" s="32" customFormat="1" x14ac:dyDescent="0.3">
      <c r="A745"/>
      <c r="B745" s="97"/>
    </row>
    <row r="746" spans="1:2" s="32" customFormat="1" x14ac:dyDescent="0.3">
      <c r="A746"/>
      <c r="B746" s="97"/>
    </row>
    <row r="747" spans="1:2" s="32" customFormat="1" x14ac:dyDescent="0.3">
      <c r="A747"/>
      <c r="B747" s="97"/>
    </row>
    <row r="748" spans="1:2" s="32" customFormat="1" x14ac:dyDescent="0.3">
      <c r="A748"/>
      <c r="B748" s="97"/>
    </row>
    <row r="749" spans="1:2" s="32" customFormat="1" x14ac:dyDescent="0.3">
      <c r="A749"/>
      <c r="B749" s="97"/>
    </row>
    <row r="750" spans="1:2" s="32" customFormat="1" x14ac:dyDescent="0.3">
      <c r="A750"/>
      <c r="B750" s="97"/>
    </row>
    <row r="751" spans="1:2" s="32" customFormat="1" x14ac:dyDescent="0.3">
      <c r="A751"/>
      <c r="B751" s="97"/>
    </row>
    <row r="752" spans="1:2" s="32" customFormat="1" x14ac:dyDescent="0.3">
      <c r="A752"/>
      <c r="B752" s="97"/>
    </row>
    <row r="753" spans="1:2" s="32" customFormat="1" x14ac:dyDescent="0.3">
      <c r="A753"/>
      <c r="B753" s="97"/>
    </row>
    <row r="754" spans="1:2" s="32" customFormat="1" x14ac:dyDescent="0.3">
      <c r="A754"/>
      <c r="B754" s="97"/>
    </row>
    <row r="755" spans="1:2" s="32" customFormat="1" x14ac:dyDescent="0.3">
      <c r="A755"/>
      <c r="B755" s="97"/>
    </row>
    <row r="756" spans="1:2" s="32" customFormat="1" x14ac:dyDescent="0.3">
      <c r="A756"/>
      <c r="B756" s="97"/>
    </row>
    <row r="757" spans="1:2" s="32" customFormat="1" x14ac:dyDescent="0.3">
      <c r="A757"/>
      <c r="B757" s="97"/>
    </row>
    <row r="758" spans="1:2" s="32" customFormat="1" x14ac:dyDescent="0.3">
      <c r="A758"/>
      <c r="B758" s="97"/>
    </row>
    <row r="759" spans="1:2" s="32" customFormat="1" x14ac:dyDescent="0.3">
      <c r="A759"/>
      <c r="B759" s="97"/>
    </row>
    <row r="760" spans="1:2" s="32" customFormat="1" x14ac:dyDescent="0.3">
      <c r="A760"/>
      <c r="B760" s="97"/>
    </row>
    <row r="761" spans="1:2" s="32" customFormat="1" x14ac:dyDescent="0.3">
      <c r="A761"/>
      <c r="B761" s="97"/>
    </row>
    <row r="762" spans="1:2" s="32" customFormat="1" x14ac:dyDescent="0.3">
      <c r="A762"/>
      <c r="B762" s="97"/>
    </row>
    <row r="763" spans="1:2" s="32" customFormat="1" x14ac:dyDescent="0.3">
      <c r="A763"/>
      <c r="B763" s="97"/>
    </row>
    <row r="764" spans="1:2" s="32" customFormat="1" x14ac:dyDescent="0.3">
      <c r="A764"/>
      <c r="B764" s="97"/>
    </row>
    <row r="765" spans="1:2" s="32" customFormat="1" x14ac:dyDescent="0.3">
      <c r="A765"/>
      <c r="B765" s="97"/>
    </row>
    <row r="766" spans="1:2" s="32" customFormat="1" x14ac:dyDescent="0.3">
      <c r="A766"/>
      <c r="B766" s="97"/>
    </row>
    <row r="767" spans="1:2" s="32" customFormat="1" x14ac:dyDescent="0.3">
      <c r="A767"/>
      <c r="B767" s="97"/>
    </row>
    <row r="768" spans="1:2" s="32" customFormat="1" x14ac:dyDescent="0.3">
      <c r="A768"/>
      <c r="B768" s="97"/>
    </row>
    <row r="769" spans="1:2" s="32" customFormat="1" x14ac:dyDescent="0.3">
      <c r="A769"/>
      <c r="B769" s="97"/>
    </row>
    <row r="770" spans="1:2" s="32" customFormat="1" x14ac:dyDescent="0.3">
      <c r="A770"/>
      <c r="B770" s="97"/>
    </row>
    <row r="771" spans="1:2" s="32" customFormat="1" x14ac:dyDescent="0.3">
      <c r="A771"/>
      <c r="B771" s="97"/>
    </row>
    <row r="772" spans="1:2" s="32" customFormat="1" x14ac:dyDescent="0.3">
      <c r="A772"/>
      <c r="B772" s="97"/>
    </row>
    <row r="773" spans="1:2" s="32" customFormat="1" x14ac:dyDescent="0.3">
      <c r="A773"/>
      <c r="B773" s="97"/>
    </row>
    <row r="774" spans="1:2" s="32" customFormat="1" x14ac:dyDescent="0.3">
      <c r="A774"/>
      <c r="B774" s="97"/>
    </row>
    <row r="775" spans="1:2" s="32" customFormat="1" x14ac:dyDescent="0.3">
      <c r="A775"/>
      <c r="B775" s="97"/>
    </row>
    <row r="776" spans="1:2" s="32" customFormat="1" x14ac:dyDescent="0.3">
      <c r="A776"/>
      <c r="B776" s="97"/>
    </row>
    <row r="777" spans="1:2" s="32" customFormat="1" x14ac:dyDescent="0.3">
      <c r="A777"/>
      <c r="B777" s="97"/>
    </row>
    <row r="778" spans="1:2" s="32" customFormat="1" x14ac:dyDescent="0.3">
      <c r="A778"/>
      <c r="B778" s="97"/>
    </row>
    <row r="779" spans="1:2" s="32" customFormat="1" x14ac:dyDescent="0.3">
      <c r="A779"/>
      <c r="B779" s="97"/>
    </row>
    <row r="780" spans="1:2" s="32" customFormat="1" x14ac:dyDescent="0.3">
      <c r="A780"/>
      <c r="B780" s="97"/>
    </row>
    <row r="781" spans="1:2" s="32" customFormat="1" x14ac:dyDescent="0.3">
      <c r="A781"/>
      <c r="B781" s="97"/>
    </row>
    <row r="782" spans="1:2" s="32" customFormat="1" x14ac:dyDescent="0.3">
      <c r="A782"/>
      <c r="B782" s="97"/>
    </row>
    <row r="783" spans="1:2" s="32" customFormat="1" x14ac:dyDescent="0.3">
      <c r="A783"/>
      <c r="B783" s="97"/>
    </row>
    <row r="784" spans="1:2" s="32" customFormat="1" x14ac:dyDescent="0.3">
      <c r="A784"/>
      <c r="B784" s="97"/>
    </row>
    <row r="785" spans="1:2" s="32" customFormat="1" x14ac:dyDescent="0.3">
      <c r="A785"/>
      <c r="B785" s="97"/>
    </row>
    <row r="786" spans="1:2" s="32" customFormat="1" x14ac:dyDescent="0.3">
      <c r="A786"/>
      <c r="B786" s="97"/>
    </row>
    <row r="787" spans="1:2" s="32" customFormat="1" x14ac:dyDescent="0.3">
      <c r="A787"/>
      <c r="B787" s="97"/>
    </row>
    <row r="788" spans="1:2" s="32" customFormat="1" x14ac:dyDescent="0.3">
      <c r="A788"/>
      <c r="B788" s="97"/>
    </row>
    <row r="789" spans="1:2" s="32" customFormat="1" x14ac:dyDescent="0.3">
      <c r="A789"/>
      <c r="B789" s="97"/>
    </row>
    <row r="790" spans="1:2" s="32" customFormat="1" x14ac:dyDescent="0.3">
      <c r="A790"/>
      <c r="B790" s="97"/>
    </row>
    <row r="791" spans="1:2" s="32" customFormat="1" x14ac:dyDescent="0.3">
      <c r="A791"/>
      <c r="B791" s="97"/>
    </row>
    <row r="792" spans="1:2" s="32" customFormat="1" x14ac:dyDescent="0.3">
      <c r="A792"/>
      <c r="B792" s="97"/>
    </row>
    <row r="793" spans="1:2" s="32" customFormat="1" x14ac:dyDescent="0.3">
      <c r="A793"/>
      <c r="B793" s="97"/>
    </row>
    <row r="794" spans="1:2" s="32" customFormat="1" x14ac:dyDescent="0.3">
      <c r="A794"/>
      <c r="B794" s="97"/>
    </row>
    <row r="795" spans="1:2" s="32" customFormat="1" x14ac:dyDescent="0.3">
      <c r="A795"/>
      <c r="B795" s="97"/>
    </row>
    <row r="796" spans="1:2" s="32" customFormat="1" x14ac:dyDescent="0.3">
      <c r="A796"/>
      <c r="B796" s="97"/>
    </row>
    <row r="797" spans="1:2" s="32" customFormat="1" x14ac:dyDescent="0.3">
      <c r="A797"/>
      <c r="B797" s="97"/>
    </row>
    <row r="798" spans="1:2" s="32" customFormat="1" x14ac:dyDescent="0.3">
      <c r="A798"/>
      <c r="B798" s="97"/>
    </row>
    <row r="799" spans="1:2" s="32" customFormat="1" x14ac:dyDescent="0.3">
      <c r="A799"/>
      <c r="B799" s="97"/>
    </row>
    <row r="800" spans="1:2" s="32" customFormat="1" x14ac:dyDescent="0.3">
      <c r="A800"/>
      <c r="B800" s="97"/>
    </row>
    <row r="801" spans="1:2" s="32" customFormat="1" x14ac:dyDescent="0.3">
      <c r="A801"/>
      <c r="B801" s="97"/>
    </row>
    <row r="802" spans="1:2" s="32" customFormat="1" x14ac:dyDescent="0.3">
      <c r="A802"/>
      <c r="B802" s="97"/>
    </row>
    <row r="803" spans="1:2" s="32" customFormat="1" x14ac:dyDescent="0.3">
      <c r="A803"/>
      <c r="B803" s="97"/>
    </row>
    <row r="804" spans="1:2" s="32" customFormat="1" x14ac:dyDescent="0.3">
      <c r="A804"/>
      <c r="B804" s="97"/>
    </row>
    <row r="805" spans="1:2" s="32" customFormat="1" x14ac:dyDescent="0.3">
      <c r="A805"/>
      <c r="B805" s="97"/>
    </row>
    <row r="806" spans="1:2" s="32" customFormat="1" x14ac:dyDescent="0.3">
      <c r="A806"/>
      <c r="B806" s="97"/>
    </row>
    <row r="807" spans="1:2" s="32" customFormat="1" x14ac:dyDescent="0.3">
      <c r="A807"/>
      <c r="B807" s="97"/>
    </row>
    <row r="808" spans="1:2" s="32" customFormat="1" x14ac:dyDescent="0.3">
      <c r="A808"/>
      <c r="B808" s="97"/>
    </row>
    <row r="809" spans="1:2" s="32" customFormat="1" x14ac:dyDescent="0.3">
      <c r="A809"/>
      <c r="B809" s="97"/>
    </row>
    <row r="810" spans="1:2" s="32" customFormat="1" x14ac:dyDescent="0.3">
      <c r="A810"/>
      <c r="B810" s="97"/>
    </row>
    <row r="811" spans="1:2" s="32" customFormat="1" x14ac:dyDescent="0.3">
      <c r="A811"/>
      <c r="B811" s="97"/>
    </row>
    <row r="812" spans="1:2" s="32" customFormat="1" x14ac:dyDescent="0.3">
      <c r="A812"/>
      <c r="B812" s="97"/>
    </row>
    <row r="813" spans="1:2" s="32" customFormat="1" x14ac:dyDescent="0.3">
      <c r="A813"/>
      <c r="B813" s="97"/>
    </row>
    <row r="814" spans="1:2" s="32" customFormat="1" x14ac:dyDescent="0.3">
      <c r="A814"/>
      <c r="B814" s="97"/>
    </row>
    <row r="815" spans="1:2" s="32" customFormat="1" x14ac:dyDescent="0.3">
      <c r="A815"/>
      <c r="B815" s="97"/>
    </row>
    <row r="816" spans="1:2" s="32" customFormat="1" x14ac:dyDescent="0.3">
      <c r="A816"/>
      <c r="B816" s="97"/>
    </row>
    <row r="817" spans="1:2" s="32" customFormat="1" x14ac:dyDescent="0.3">
      <c r="A817"/>
      <c r="B817" s="97"/>
    </row>
    <row r="818" spans="1:2" s="32" customFormat="1" x14ac:dyDescent="0.3">
      <c r="A818"/>
      <c r="B818" s="97"/>
    </row>
    <row r="819" spans="1:2" s="32" customFormat="1" x14ac:dyDescent="0.3">
      <c r="A819"/>
      <c r="B819" s="97"/>
    </row>
    <row r="820" spans="1:2" s="32" customFormat="1" x14ac:dyDescent="0.3">
      <c r="A820"/>
      <c r="B820" s="97"/>
    </row>
    <row r="821" spans="1:2" s="32" customFormat="1" x14ac:dyDescent="0.3">
      <c r="A821"/>
      <c r="B821" s="97"/>
    </row>
    <row r="822" spans="1:2" s="32" customFormat="1" x14ac:dyDescent="0.3">
      <c r="A822"/>
      <c r="B822" s="97"/>
    </row>
    <row r="823" spans="1:2" s="32" customFormat="1" x14ac:dyDescent="0.3">
      <c r="A823"/>
      <c r="B823" s="97"/>
    </row>
    <row r="824" spans="1:2" s="32" customFormat="1" x14ac:dyDescent="0.3">
      <c r="A824"/>
      <c r="B824" s="97"/>
    </row>
    <row r="825" spans="1:2" s="32" customFormat="1" x14ac:dyDescent="0.3">
      <c r="A825"/>
      <c r="B825" s="97"/>
    </row>
    <row r="826" spans="1:2" s="32" customFormat="1" x14ac:dyDescent="0.3">
      <c r="A826"/>
      <c r="B826" s="97"/>
    </row>
    <row r="827" spans="1:2" s="32" customFormat="1" x14ac:dyDescent="0.3">
      <c r="A827"/>
      <c r="B827" s="97"/>
    </row>
    <row r="828" spans="1:2" s="32" customFormat="1" x14ac:dyDescent="0.3">
      <c r="A828"/>
      <c r="B828" s="97"/>
    </row>
    <row r="829" spans="1:2" s="32" customFormat="1" x14ac:dyDescent="0.3">
      <c r="A829"/>
      <c r="B829" s="97"/>
    </row>
    <row r="830" spans="1:2" s="32" customFormat="1" x14ac:dyDescent="0.3">
      <c r="A830"/>
      <c r="B830" s="97"/>
    </row>
    <row r="831" spans="1:2" s="32" customFormat="1" x14ac:dyDescent="0.3">
      <c r="A831"/>
      <c r="B831" s="97"/>
    </row>
    <row r="832" spans="1:2" s="32" customFormat="1" x14ac:dyDescent="0.3">
      <c r="A832"/>
      <c r="B832" s="97"/>
    </row>
    <row r="833" spans="1:2" s="32" customFormat="1" x14ac:dyDescent="0.3">
      <c r="A833"/>
      <c r="B833" s="97"/>
    </row>
    <row r="834" spans="1:2" s="32" customFormat="1" x14ac:dyDescent="0.3">
      <c r="A834"/>
      <c r="B834" s="97"/>
    </row>
    <row r="835" spans="1:2" s="32" customFormat="1" x14ac:dyDescent="0.3">
      <c r="A835"/>
      <c r="B835" s="97"/>
    </row>
    <row r="836" spans="1:2" s="32" customFormat="1" x14ac:dyDescent="0.3">
      <c r="A836"/>
      <c r="B836" s="97"/>
    </row>
    <row r="837" spans="1:2" s="32" customFormat="1" x14ac:dyDescent="0.3">
      <c r="A837"/>
      <c r="B837" s="97"/>
    </row>
    <row r="838" spans="1:2" s="32" customFormat="1" x14ac:dyDescent="0.3">
      <c r="A838"/>
      <c r="B838" s="97"/>
    </row>
    <row r="839" spans="1:2" s="32" customFormat="1" x14ac:dyDescent="0.3">
      <c r="A839"/>
      <c r="B839" s="97"/>
    </row>
    <row r="840" spans="1:2" s="32" customFormat="1" x14ac:dyDescent="0.3">
      <c r="A840"/>
      <c r="B840" s="97"/>
    </row>
    <row r="841" spans="1:2" s="32" customFormat="1" x14ac:dyDescent="0.3">
      <c r="A841"/>
      <c r="B841" s="97"/>
    </row>
    <row r="842" spans="1:2" s="32" customFormat="1" x14ac:dyDescent="0.3">
      <c r="A842"/>
      <c r="B842" s="97"/>
    </row>
    <row r="843" spans="1:2" s="32" customFormat="1" x14ac:dyDescent="0.3">
      <c r="A843"/>
      <c r="B843" s="97"/>
    </row>
    <row r="844" spans="1:2" s="32" customFormat="1" x14ac:dyDescent="0.3">
      <c r="A844"/>
      <c r="B844" s="97"/>
    </row>
    <row r="845" spans="1:2" s="32" customFormat="1" x14ac:dyDescent="0.3">
      <c r="A845"/>
      <c r="B845" s="97"/>
    </row>
    <row r="846" spans="1:2" s="32" customFormat="1" x14ac:dyDescent="0.3">
      <c r="A846"/>
      <c r="B846" s="97"/>
    </row>
    <row r="847" spans="1:2" s="32" customFormat="1" x14ac:dyDescent="0.3">
      <c r="A847"/>
      <c r="B847" s="97"/>
    </row>
    <row r="848" spans="1:2" s="32" customFormat="1" x14ac:dyDescent="0.3">
      <c r="A848"/>
      <c r="B848" s="97"/>
    </row>
    <row r="849" spans="1:2" s="32" customFormat="1" x14ac:dyDescent="0.3">
      <c r="A849"/>
      <c r="B849" s="97"/>
    </row>
    <row r="850" spans="1:2" s="32" customFormat="1" x14ac:dyDescent="0.3">
      <c r="A850"/>
      <c r="B850" s="97"/>
    </row>
    <row r="851" spans="1:2" s="32" customFormat="1" x14ac:dyDescent="0.3">
      <c r="A851"/>
      <c r="B851" s="97"/>
    </row>
    <row r="852" spans="1:2" s="32" customFormat="1" x14ac:dyDescent="0.3">
      <c r="A852"/>
      <c r="B852" s="97"/>
    </row>
    <row r="853" spans="1:2" s="32" customFormat="1" x14ac:dyDescent="0.3">
      <c r="A853"/>
      <c r="B853" s="97"/>
    </row>
    <row r="854" spans="1:2" s="32" customFormat="1" x14ac:dyDescent="0.3">
      <c r="A854"/>
      <c r="B854" s="97"/>
    </row>
    <row r="855" spans="1:2" s="32" customFormat="1" x14ac:dyDescent="0.3">
      <c r="A855"/>
      <c r="B855" s="97"/>
    </row>
    <row r="856" spans="1:2" s="32" customFormat="1" x14ac:dyDescent="0.3">
      <c r="A856"/>
      <c r="B856" s="97"/>
    </row>
    <row r="857" spans="1:2" s="32" customFormat="1" x14ac:dyDescent="0.3">
      <c r="A857"/>
      <c r="B857" s="97"/>
    </row>
    <row r="858" spans="1:2" s="32" customFormat="1" x14ac:dyDescent="0.3">
      <c r="A858"/>
      <c r="B858" s="97"/>
    </row>
    <row r="859" spans="1:2" s="32" customFormat="1" x14ac:dyDescent="0.3">
      <c r="A859"/>
      <c r="B859" s="97"/>
    </row>
    <row r="860" spans="1:2" s="32" customFormat="1" x14ac:dyDescent="0.3">
      <c r="A860"/>
      <c r="B860" s="97"/>
    </row>
    <row r="861" spans="1:2" s="32" customFormat="1" x14ac:dyDescent="0.3">
      <c r="A861"/>
      <c r="B861" s="97"/>
    </row>
    <row r="862" spans="1:2" s="32" customFormat="1" x14ac:dyDescent="0.3">
      <c r="A862"/>
      <c r="B862" s="97"/>
    </row>
    <row r="863" spans="1:2" s="32" customFormat="1" x14ac:dyDescent="0.3">
      <c r="A863"/>
      <c r="B863" s="97"/>
    </row>
    <row r="864" spans="1:2" s="32" customFormat="1" x14ac:dyDescent="0.3">
      <c r="A864"/>
      <c r="B864" s="97"/>
    </row>
    <row r="865" spans="1:2" s="32" customFormat="1" x14ac:dyDescent="0.3">
      <c r="A865"/>
      <c r="B865" s="97"/>
    </row>
    <row r="866" spans="1:2" s="32" customFormat="1" x14ac:dyDescent="0.3">
      <c r="A866"/>
      <c r="B866" s="97"/>
    </row>
    <row r="867" spans="1:2" s="32" customFormat="1" x14ac:dyDescent="0.3">
      <c r="A867"/>
      <c r="B867" s="97"/>
    </row>
    <row r="868" spans="1:2" s="32" customFormat="1" x14ac:dyDescent="0.3">
      <c r="A868"/>
      <c r="B868" s="97"/>
    </row>
    <row r="869" spans="1:2" s="32" customFormat="1" x14ac:dyDescent="0.3">
      <c r="A869"/>
      <c r="B869" s="97"/>
    </row>
    <row r="870" spans="1:2" s="32" customFormat="1" x14ac:dyDescent="0.3">
      <c r="A870"/>
      <c r="B870" s="97"/>
    </row>
    <row r="871" spans="1:2" s="32" customFormat="1" x14ac:dyDescent="0.3">
      <c r="A871"/>
      <c r="B871" s="97"/>
    </row>
    <row r="872" spans="1:2" s="32" customFormat="1" x14ac:dyDescent="0.3">
      <c r="A872"/>
      <c r="B872" s="97"/>
    </row>
    <row r="873" spans="1:2" s="32" customFormat="1" x14ac:dyDescent="0.3">
      <c r="A873"/>
      <c r="B873" s="97"/>
    </row>
    <row r="874" spans="1:2" s="32" customFormat="1" x14ac:dyDescent="0.3">
      <c r="A874"/>
      <c r="B874" s="97"/>
    </row>
    <row r="875" spans="1:2" s="32" customFormat="1" x14ac:dyDescent="0.3">
      <c r="A875"/>
      <c r="B875" s="97"/>
    </row>
    <row r="876" spans="1:2" s="32" customFormat="1" x14ac:dyDescent="0.3">
      <c r="A876"/>
      <c r="B876" s="97"/>
    </row>
    <row r="877" spans="1:2" s="32" customFormat="1" x14ac:dyDescent="0.3">
      <c r="A877"/>
      <c r="B877" s="97"/>
    </row>
    <row r="878" spans="1:2" s="32" customFormat="1" x14ac:dyDescent="0.3">
      <c r="A878"/>
      <c r="B878" s="97"/>
    </row>
    <row r="879" spans="1:2" s="32" customFormat="1" x14ac:dyDescent="0.3">
      <c r="A879"/>
      <c r="B879" s="97"/>
    </row>
    <row r="880" spans="1:2" s="32" customFormat="1" x14ac:dyDescent="0.3">
      <c r="A880"/>
      <c r="B880" s="97"/>
    </row>
    <row r="881" spans="1:2" s="32" customFormat="1" x14ac:dyDescent="0.3">
      <c r="A881"/>
      <c r="B881" s="97"/>
    </row>
    <row r="882" spans="1:2" s="32" customFormat="1" x14ac:dyDescent="0.3">
      <c r="A882"/>
      <c r="B882" s="97"/>
    </row>
    <row r="883" spans="1:2" s="32" customFormat="1" x14ac:dyDescent="0.3">
      <c r="A883"/>
      <c r="B883" s="97"/>
    </row>
    <row r="884" spans="1:2" s="32" customFormat="1" x14ac:dyDescent="0.3">
      <c r="A884"/>
      <c r="B884" s="97"/>
    </row>
    <row r="885" spans="1:2" s="32" customFormat="1" x14ac:dyDescent="0.3">
      <c r="A885"/>
      <c r="B885" s="97"/>
    </row>
    <row r="886" spans="1:2" s="32" customFormat="1" x14ac:dyDescent="0.3">
      <c r="A886"/>
      <c r="B886" s="97"/>
    </row>
    <row r="887" spans="1:2" s="32" customFormat="1" x14ac:dyDescent="0.3">
      <c r="A887"/>
      <c r="B887" s="97"/>
    </row>
    <row r="888" spans="1:2" s="32" customFormat="1" x14ac:dyDescent="0.3">
      <c r="A888"/>
      <c r="B888" s="97"/>
    </row>
    <row r="889" spans="1:2" s="32" customFormat="1" x14ac:dyDescent="0.3">
      <c r="A889"/>
      <c r="B889" s="97"/>
    </row>
    <row r="890" spans="1:2" s="32" customFormat="1" x14ac:dyDescent="0.3">
      <c r="A890"/>
      <c r="B890" s="97"/>
    </row>
    <row r="891" spans="1:2" s="32" customFormat="1" x14ac:dyDescent="0.3">
      <c r="A891"/>
      <c r="B891" s="97"/>
    </row>
    <row r="892" spans="1:2" s="32" customFormat="1" x14ac:dyDescent="0.3">
      <c r="A892"/>
      <c r="B892" s="97"/>
    </row>
    <row r="893" spans="1:2" s="32" customFormat="1" x14ac:dyDescent="0.3">
      <c r="A893"/>
      <c r="B893" s="97"/>
    </row>
    <row r="894" spans="1:2" s="32" customFormat="1" x14ac:dyDescent="0.3">
      <c r="A894"/>
      <c r="B894" s="97"/>
    </row>
    <row r="895" spans="1:2" s="32" customFormat="1" x14ac:dyDescent="0.3">
      <c r="A895"/>
      <c r="B895" s="97"/>
    </row>
    <row r="896" spans="1:2" s="32" customFormat="1" x14ac:dyDescent="0.3">
      <c r="A896"/>
      <c r="B896" s="97"/>
    </row>
    <row r="897" spans="1:2" s="32" customFormat="1" x14ac:dyDescent="0.3">
      <c r="A897"/>
      <c r="B897" s="97"/>
    </row>
    <row r="898" spans="1:2" s="32" customFormat="1" x14ac:dyDescent="0.3">
      <c r="A898"/>
      <c r="B898" s="97"/>
    </row>
    <row r="899" spans="1:2" s="32" customFormat="1" x14ac:dyDescent="0.3">
      <c r="A899"/>
      <c r="B899" s="97"/>
    </row>
    <row r="900" spans="1:2" s="32" customFormat="1" x14ac:dyDescent="0.3">
      <c r="A900"/>
      <c r="B900" s="97"/>
    </row>
    <row r="901" spans="1:2" s="32" customFormat="1" x14ac:dyDescent="0.3">
      <c r="A901"/>
      <c r="B901" s="97"/>
    </row>
    <row r="902" spans="1:2" s="32" customFormat="1" x14ac:dyDescent="0.3">
      <c r="A902"/>
      <c r="B902" s="97"/>
    </row>
    <row r="903" spans="1:2" s="32" customFormat="1" x14ac:dyDescent="0.3">
      <c r="A903"/>
      <c r="B903" s="97"/>
    </row>
    <row r="904" spans="1:2" s="32" customFormat="1" x14ac:dyDescent="0.3">
      <c r="A904"/>
      <c r="B904" s="97"/>
    </row>
    <row r="905" spans="1:2" s="32" customFormat="1" x14ac:dyDescent="0.3">
      <c r="A905"/>
      <c r="B905" s="97"/>
    </row>
    <row r="906" spans="1:2" s="32" customFormat="1" x14ac:dyDescent="0.3">
      <c r="A906"/>
      <c r="B906" s="97"/>
    </row>
    <row r="907" spans="1:2" s="32" customFormat="1" x14ac:dyDescent="0.3">
      <c r="A907"/>
      <c r="B907" s="97"/>
    </row>
    <row r="908" spans="1:2" s="32" customFormat="1" x14ac:dyDescent="0.3">
      <c r="A908"/>
      <c r="B908" s="97"/>
    </row>
    <row r="909" spans="1:2" s="32" customFormat="1" x14ac:dyDescent="0.3">
      <c r="A909"/>
      <c r="B909" s="97"/>
    </row>
    <row r="910" spans="1:2" s="32" customFormat="1" x14ac:dyDescent="0.3">
      <c r="A910"/>
      <c r="B910" s="97"/>
    </row>
    <row r="911" spans="1:2" s="32" customFormat="1" x14ac:dyDescent="0.3">
      <c r="A911"/>
      <c r="B911" s="97"/>
    </row>
    <row r="912" spans="1:2" s="32" customFormat="1" x14ac:dyDescent="0.3">
      <c r="A912"/>
      <c r="B912" s="97"/>
    </row>
    <row r="913" spans="1:2" s="32" customFormat="1" x14ac:dyDescent="0.3">
      <c r="A913"/>
      <c r="B913" s="97"/>
    </row>
    <row r="914" spans="1:2" s="32" customFormat="1" x14ac:dyDescent="0.3">
      <c r="A914"/>
      <c r="B914" s="97"/>
    </row>
    <row r="915" spans="1:2" s="32" customFormat="1" x14ac:dyDescent="0.3">
      <c r="A915"/>
      <c r="B915" s="97"/>
    </row>
    <row r="916" spans="1:2" s="32" customFormat="1" x14ac:dyDescent="0.3">
      <c r="A916"/>
      <c r="B916" s="97"/>
    </row>
    <row r="917" spans="1:2" s="32" customFormat="1" x14ac:dyDescent="0.3">
      <c r="A917"/>
      <c r="B917" s="97"/>
    </row>
    <row r="918" spans="1:2" s="32" customFormat="1" x14ac:dyDescent="0.3">
      <c r="A918"/>
      <c r="B918" s="97"/>
    </row>
    <row r="919" spans="1:2" s="32" customFormat="1" x14ac:dyDescent="0.3">
      <c r="A919"/>
      <c r="B919" s="97"/>
    </row>
    <row r="920" spans="1:2" s="32" customFormat="1" x14ac:dyDescent="0.3">
      <c r="A920"/>
      <c r="B920" s="97"/>
    </row>
    <row r="921" spans="1:2" s="32" customFormat="1" x14ac:dyDescent="0.3">
      <c r="A921"/>
      <c r="B921" s="97"/>
    </row>
    <row r="922" spans="1:2" s="32" customFormat="1" x14ac:dyDescent="0.3">
      <c r="A922"/>
      <c r="B922" s="97"/>
    </row>
    <row r="923" spans="1:2" s="32" customFormat="1" x14ac:dyDescent="0.3">
      <c r="A923"/>
      <c r="B923" s="97"/>
    </row>
    <row r="924" spans="1:2" s="32" customFormat="1" x14ac:dyDescent="0.3">
      <c r="A924"/>
      <c r="B924" s="97"/>
    </row>
    <row r="925" spans="1:2" s="32" customFormat="1" x14ac:dyDescent="0.3">
      <c r="A925"/>
      <c r="B925" s="97"/>
    </row>
    <row r="926" spans="1:2" s="32" customFormat="1" x14ac:dyDescent="0.3">
      <c r="A926"/>
      <c r="B926" s="97"/>
    </row>
    <row r="927" spans="1:2" s="32" customFormat="1" x14ac:dyDescent="0.3">
      <c r="A927"/>
      <c r="B927" s="97"/>
    </row>
    <row r="928" spans="1:2" s="32" customFormat="1" x14ac:dyDescent="0.3">
      <c r="A928"/>
      <c r="B928" s="97"/>
    </row>
    <row r="929" spans="1:2" s="32" customFormat="1" x14ac:dyDescent="0.3">
      <c r="A929"/>
      <c r="B929" s="97"/>
    </row>
    <row r="930" spans="1:2" s="32" customFormat="1" x14ac:dyDescent="0.3">
      <c r="A930"/>
      <c r="B930" s="97"/>
    </row>
    <row r="931" spans="1:2" s="32" customFormat="1" x14ac:dyDescent="0.3">
      <c r="A931"/>
      <c r="B931" s="97"/>
    </row>
    <row r="932" spans="1:2" s="32" customFormat="1" x14ac:dyDescent="0.3">
      <c r="A932"/>
      <c r="B932" s="97"/>
    </row>
    <row r="933" spans="1:2" s="32" customFormat="1" x14ac:dyDescent="0.3">
      <c r="A933"/>
      <c r="B933" s="97"/>
    </row>
    <row r="934" spans="1:2" s="32" customFormat="1" x14ac:dyDescent="0.3">
      <c r="A934"/>
      <c r="B934" s="97"/>
    </row>
    <row r="935" spans="1:2" s="32" customFormat="1" x14ac:dyDescent="0.3">
      <c r="A935"/>
      <c r="B935" s="97"/>
    </row>
    <row r="936" spans="1:2" s="32" customFormat="1" x14ac:dyDescent="0.3">
      <c r="A936"/>
      <c r="B936" s="97"/>
    </row>
    <row r="937" spans="1:2" s="32" customFormat="1" x14ac:dyDescent="0.3">
      <c r="A937"/>
      <c r="B937" s="97"/>
    </row>
    <row r="938" spans="1:2" s="32" customFormat="1" x14ac:dyDescent="0.3">
      <c r="A938"/>
      <c r="B938" s="97"/>
    </row>
    <row r="939" spans="1:2" s="32" customFormat="1" x14ac:dyDescent="0.3">
      <c r="A939"/>
      <c r="B939" s="97"/>
    </row>
    <row r="940" spans="1:2" s="32" customFormat="1" x14ac:dyDescent="0.3">
      <c r="A940"/>
      <c r="B940" s="97"/>
    </row>
    <row r="941" spans="1:2" s="32" customFormat="1" x14ac:dyDescent="0.3">
      <c r="A941"/>
      <c r="B941" s="97"/>
    </row>
    <row r="942" spans="1:2" s="32" customFormat="1" x14ac:dyDescent="0.3">
      <c r="A942"/>
      <c r="B942" s="97"/>
    </row>
    <row r="943" spans="1:2" s="32" customFormat="1" x14ac:dyDescent="0.3">
      <c r="A943"/>
      <c r="B943" s="97"/>
    </row>
    <row r="944" spans="1:2" s="32" customFormat="1" x14ac:dyDescent="0.3">
      <c r="A944"/>
      <c r="B944" s="97"/>
    </row>
    <row r="945" spans="1:2" s="32" customFormat="1" x14ac:dyDescent="0.3">
      <c r="A945"/>
      <c r="B945" s="97"/>
    </row>
    <row r="946" spans="1:2" s="32" customFormat="1" x14ac:dyDescent="0.3">
      <c r="A946"/>
      <c r="B946" s="97"/>
    </row>
    <row r="947" spans="1:2" s="32" customFormat="1" x14ac:dyDescent="0.3">
      <c r="A947"/>
      <c r="B947" s="97"/>
    </row>
    <row r="948" spans="1:2" s="32" customFormat="1" x14ac:dyDescent="0.3">
      <c r="A948"/>
      <c r="B948" s="97"/>
    </row>
    <row r="949" spans="1:2" s="32" customFormat="1" x14ac:dyDescent="0.3">
      <c r="A949"/>
      <c r="B949" s="97"/>
    </row>
    <row r="950" spans="1:2" s="32" customFormat="1" x14ac:dyDescent="0.3">
      <c r="A950"/>
      <c r="B950" s="97"/>
    </row>
    <row r="951" spans="1:2" s="32" customFormat="1" x14ac:dyDescent="0.3">
      <c r="A951"/>
      <c r="B951" s="97"/>
    </row>
    <row r="952" spans="1:2" s="32" customFormat="1" x14ac:dyDescent="0.3">
      <c r="A952"/>
      <c r="B952" s="97"/>
    </row>
    <row r="953" spans="1:2" s="32" customFormat="1" x14ac:dyDescent="0.3">
      <c r="A953"/>
      <c r="B953" s="97"/>
    </row>
    <row r="954" spans="1:2" s="32" customFormat="1" x14ac:dyDescent="0.3">
      <c r="A954"/>
      <c r="B954" s="97"/>
    </row>
    <row r="955" spans="1:2" s="32" customFormat="1" x14ac:dyDescent="0.3">
      <c r="A955"/>
      <c r="B955" s="97"/>
    </row>
    <row r="956" spans="1:2" s="32" customFormat="1" x14ac:dyDescent="0.3">
      <c r="A956"/>
      <c r="B956" s="97"/>
    </row>
    <row r="957" spans="1:2" s="32" customFormat="1" x14ac:dyDescent="0.3">
      <c r="A957"/>
      <c r="B957" s="97"/>
    </row>
    <row r="958" spans="1:2" s="32" customFormat="1" x14ac:dyDescent="0.3">
      <c r="A958"/>
      <c r="B958" s="97"/>
    </row>
    <row r="959" spans="1:2" s="32" customFormat="1" x14ac:dyDescent="0.3">
      <c r="A959"/>
      <c r="B959" s="97"/>
    </row>
    <row r="960" spans="1:2" s="32" customFormat="1" x14ac:dyDescent="0.3">
      <c r="A960"/>
      <c r="B960" s="97"/>
    </row>
    <row r="961" spans="1:2" s="32" customFormat="1" x14ac:dyDescent="0.3">
      <c r="A961"/>
      <c r="B961" s="97"/>
    </row>
    <row r="962" spans="1:2" s="32" customFormat="1" x14ac:dyDescent="0.3">
      <c r="A962"/>
      <c r="B962" s="97"/>
    </row>
    <row r="963" spans="1:2" s="32" customFormat="1" x14ac:dyDescent="0.3">
      <c r="A963"/>
      <c r="B963" s="97"/>
    </row>
    <row r="964" spans="1:2" s="32" customFormat="1" x14ac:dyDescent="0.3">
      <c r="A964"/>
      <c r="B964" s="97"/>
    </row>
    <row r="965" spans="1:2" s="32" customFormat="1" x14ac:dyDescent="0.3">
      <c r="A965"/>
      <c r="B965" s="97"/>
    </row>
    <row r="966" spans="1:2" s="32" customFormat="1" x14ac:dyDescent="0.3">
      <c r="A966"/>
      <c r="B966" s="97"/>
    </row>
    <row r="967" spans="1:2" s="32" customFormat="1" x14ac:dyDescent="0.3">
      <c r="A967"/>
      <c r="B967" s="97"/>
    </row>
    <row r="968" spans="1:2" s="32" customFormat="1" x14ac:dyDescent="0.3">
      <c r="A968"/>
      <c r="B968" s="97"/>
    </row>
    <row r="969" spans="1:2" s="32" customFormat="1" x14ac:dyDescent="0.3">
      <c r="A969"/>
      <c r="B969" s="97"/>
    </row>
    <row r="970" spans="1:2" s="32" customFormat="1" x14ac:dyDescent="0.3">
      <c r="A970"/>
      <c r="B970" s="97"/>
    </row>
    <row r="971" spans="1:2" s="32" customFormat="1" x14ac:dyDescent="0.3">
      <c r="A971"/>
      <c r="B971" s="97"/>
    </row>
    <row r="972" spans="1:2" s="32" customFormat="1" x14ac:dyDescent="0.3">
      <c r="A972"/>
      <c r="B972" s="97"/>
    </row>
    <row r="973" spans="1:2" s="32" customFormat="1" x14ac:dyDescent="0.3">
      <c r="A973"/>
      <c r="B973" s="97"/>
    </row>
    <row r="974" spans="1:2" s="32" customFormat="1" x14ac:dyDescent="0.3">
      <c r="A974"/>
      <c r="B974" s="97"/>
    </row>
    <row r="975" spans="1:2" s="32" customFormat="1" x14ac:dyDescent="0.3">
      <c r="A975"/>
      <c r="B975" s="97"/>
    </row>
    <row r="976" spans="1:2" s="32" customFormat="1" x14ac:dyDescent="0.3">
      <c r="A976"/>
      <c r="B976" s="97"/>
    </row>
    <row r="977" spans="1:2" s="32" customFormat="1" x14ac:dyDescent="0.3">
      <c r="A977"/>
      <c r="B977" s="97"/>
    </row>
    <row r="978" spans="1:2" s="32" customFormat="1" x14ac:dyDescent="0.3">
      <c r="A978"/>
      <c r="B978" s="97"/>
    </row>
    <row r="979" spans="1:2" s="32" customFormat="1" x14ac:dyDescent="0.3">
      <c r="A979"/>
      <c r="B979" s="97"/>
    </row>
    <row r="980" spans="1:2" s="32" customFormat="1" x14ac:dyDescent="0.3">
      <c r="A980"/>
      <c r="B980" s="97"/>
    </row>
    <row r="981" spans="1:2" s="32" customFormat="1" x14ac:dyDescent="0.3">
      <c r="A981"/>
      <c r="B981" s="97"/>
    </row>
    <row r="982" spans="1:2" s="32" customFormat="1" x14ac:dyDescent="0.3">
      <c r="A982"/>
      <c r="B982" s="97"/>
    </row>
    <row r="983" spans="1:2" s="32" customFormat="1" x14ac:dyDescent="0.3">
      <c r="A983"/>
      <c r="B983" s="97"/>
    </row>
    <row r="984" spans="1:2" s="32" customFormat="1" x14ac:dyDescent="0.3">
      <c r="A984"/>
      <c r="B984" s="97"/>
    </row>
    <row r="985" spans="1:2" s="32" customFormat="1" x14ac:dyDescent="0.3">
      <c r="A985"/>
      <c r="B985" s="97"/>
    </row>
    <row r="986" spans="1:2" s="32" customFormat="1" x14ac:dyDescent="0.3">
      <c r="A986"/>
      <c r="B986" s="97"/>
    </row>
    <row r="987" spans="1:2" s="32" customFormat="1" x14ac:dyDescent="0.3">
      <c r="A987"/>
      <c r="B987" s="97"/>
    </row>
    <row r="988" spans="1:2" s="32" customFormat="1" x14ac:dyDescent="0.3">
      <c r="A988"/>
      <c r="B988" s="97"/>
    </row>
    <row r="989" spans="1:2" s="32" customFormat="1" x14ac:dyDescent="0.3">
      <c r="A989"/>
      <c r="B989" s="97"/>
    </row>
    <row r="990" spans="1:2" s="32" customFormat="1" x14ac:dyDescent="0.3">
      <c r="A990"/>
      <c r="B990" s="97"/>
    </row>
    <row r="991" spans="1:2" s="32" customFormat="1" x14ac:dyDescent="0.3">
      <c r="A991"/>
      <c r="B991" s="97"/>
    </row>
    <row r="992" spans="1:2" s="32" customFormat="1" x14ac:dyDescent="0.3">
      <c r="A992"/>
      <c r="B992" s="97"/>
    </row>
    <row r="993" spans="1:2" s="32" customFormat="1" x14ac:dyDescent="0.3">
      <c r="A993"/>
      <c r="B993" s="97"/>
    </row>
    <row r="994" spans="1:2" s="32" customFormat="1" x14ac:dyDescent="0.3">
      <c r="A994"/>
      <c r="B994" s="97"/>
    </row>
    <row r="995" spans="1:2" s="32" customFormat="1" x14ac:dyDescent="0.3">
      <c r="A995"/>
      <c r="B995" s="97"/>
    </row>
    <row r="996" spans="1:2" s="32" customFormat="1" x14ac:dyDescent="0.3">
      <c r="A996"/>
      <c r="B996" s="97"/>
    </row>
    <row r="997" spans="1:2" s="32" customFormat="1" x14ac:dyDescent="0.3">
      <c r="A997"/>
      <c r="B997" s="97"/>
    </row>
    <row r="998" spans="1:2" s="32" customFormat="1" x14ac:dyDescent="0.3">
      <c r="A998"/>
      <c r="B998" s="97"/>
    </row>
    <row r="999" spans="1:2" s="32" customFormat="1" x14ac:dyDescent="0.3">
      <c r="A999"/>
      <c r="B999" s="97"/>
    </row>
    <row r="1000" spans="1:2" s="32" customFormat="1" x14ac:dyDescent="0.3">
      <c r="A1000"/>
      <c r="B1000" s="97"/>
    </row>
    <row r="1001" spans="1:2" s="32" customFormat="1" x14ac:dyDescent="0.3">
      <c r="A1001"/>
      <c r="B1001" s="97"/>
    </row>
    <row r="1002" spans="1:2" s="32" customFormat="1" x14ac:dyDescent="0.3">
      <c r="A1002"/>
      <c r="B1002" s="97"/>
    </row>
    <row r="1003" spans="1:2" s="32" customFormat="1" x14ac:dyDescent="0.3">
      <c r="A1003"/>
      <c r="B1003" s="97"/>
    </row>
    <row r="1004" spans="1:2" s="32" customFormat="1" x14ac:dyDescent="0.3">
      <c r="A1004"/>
      <c r="B1004" s="97"/>
    </row>
    <row r="1005" spans="1:2" s="32" customFormat="1" x14ac:dyDescent="0.3">
      <c r="A1005"/>
      <c r="B1005" s="97"/>
    </row>
    <row r="1006" spans="1:2" s="32" customFormat="1" x14ac:dyDescent="0.3">
      <c r="A1006"/>
      <c r="B1006" s="97"/>
    </row>
    <row r="1007" spans="1:2" s="32" customFormat="1" x14ac:dyDescent="0.3">
      <c r="A1007"/>
      <c r="B1007" s="97"/>
    </row>
    <row r="1008" spans="1:2" s="32" customFormat="1" x14ac:dyDescent="0.3">
      <c r="A1008"/>
      <c r="B1008" s="97"/>
    </row>
    <row r="1009" spans="1:2" s="32" customFormat="1" x14ac:dyDescent="0.3">
      <c r="A1009"/>
      <c r="B1009" s="97"/>
    </row>
    <row r="1010" spans="1:2" s="32" customFormat="1" x14ac:dyDescent="0.3">
      <c r="A1010"/>
      <c r="B1010" s="97"/>
    </row>
    <row r="1011" spans="1:2" s="32" customFormat="1" x14ac:dyDescent="0.3">
      <c r="A1011"/>
      <c r="B1011" s="97"/>
    </row>
    <row r="1012" spans="1:2" s="32" customFormat="1" x14ac:dyDescent="0.3">
      <c r="A1012"/>
      <c r="B1012" s="97"/>
    </row>
    <row r="1013" spans="1:2" s="32" customFormat="1" x14ac:dyDescent="0.3">
      <c r="A1013"/>
      <c r="B1013" s="97"/>
    </row>
    <row r="1014" spans="1:2" s="32" customFormat="1" x14ac:dyDescent="0.3">
      <c r="A1014"/>
      <c r="B1014" s="97"/>
    </row>
    <row r="1015" spans="1:2" s="32" customFormat="1" x14ac:dyDescent="0.3">
      <c r="A1015"/>
      <c r="B1015" s="97"/>
    </row>
    <row r="1016" spans="1:2" s="32" customFormat="1" x14ac:dyDescent="0.3">
      <c r="A1016"/>
      <c r="B1016" s="97"/>
    </row>
    <row r="1017" spans="1:2" s="32" customFormat="1" x14ac:dyDescent="0.3">
      <c r="A1017"/>
      <c r="B1017" s="97"/>
    </row>
    <row r="1018" spans="1:2" s="32" customFormat="1" x14ac:dyDescent="0.3">
      <c r="A1018"/>
      <c r="B1018" s="97"/>
    </row>
    <row r="1019" spans="1:2" s="32" customFormat="1" x14ac:dyDescent="0.3">
      <c r="A1019"/>
      <c r="B1019" s="97"/>
    </row>
    <row r="1020" spans="1:2" s="32" customFormat="1" x14ac:dyDescent="0.3">
      <c r="A1020"/>
      <c r="B1020" s="97"/>
    </row>
    <row r="1021" spans="1:2" s="32" customFormat="1" x14ac:dyDescent="0.3">
      <c r="A1021"/>
      <c r="B1021" s="97"/>
    </row>
    <row r="1022" spans="1:2" s="32" customFormat="1" x14ac:dyDescent="0.3">
      <c r="A1022"/>
      <c r="B1022" s="97"/>
    </row>
    <row r="1023" spans="1:2" s="32" customFormat="1" x14ac:dyDescent="0.3">
      <c r="A1023"/>
      <c r="B1023" s="97"/>
    </row>
    <row r="1024" spans="1:2" s="32" customFormat="1" x14ac:dyDescent="0.3">
      <c r="A1024"/>
      <c r="B1024" s="97"/>
    </row>
    <row r="1025" spans="1:2" s="32" customFormat="1" x14ac:dyDescent="0.3">
      <c r="A1025"/>
      <c r="B1025" s="97"/>
    </row>
    <row r="1026" spans="1:2" s="32" customFormat="1" x14ac:dyDescent="0.3">
      <c r="A1026"/>
      <c r="B1026" s="97"/>
    </row>
    <row r="1027" spans="1:2" s="32" customFormat="1" x14ac:dyDescent="0.3">
      <c r="A1027"/>
      <c r="B1027" s="97"/>
    </row>
    <row r="1028" spans="1:2" s="32" customFormat="1" x14ac:dyDescent="0.3">
      <c r="A1028"/>
      <c r="B1028" s="97"/>
    </row>
    <row r="1029" spans="1:2" s="32" customFormat="1" x14ac:dyDescent="0.3">
      <c r="A1029"/>
      <c r="B1029" s="97"/>
    </row>
    <row r="1030" spans="1:2" s="32" customFormat="1" x14ac:dyDescent="0.3">
      <c r="A1030"/>
      <c r="B1030" s="97"/>
    </row>
    <row r="1031" spans="1:2" s="32" customFormat="1" x14ac:dyDescent="0.3">
      <c r="A1031"/>
      <c r="B1031" s="97"/>
    </row>
    <row r="1032" spans="1:2" s="32" customFormat="1" x14ac:dyDescent="0.3">
      <c r="A1032"/>
      <c r="B1032" s="97"/>
    </row>
    <row r="1033" spans="1:2" s="32" customFormat="1" x14ac:dyDescent="0.3">
      <c r="A1033"/>
      <c r="B1033" s="97"/>
    </row>
    <row r="1034" spans="1:2" s="32" customFormat="1" x14ac:dyDescent="0.3">
      <c r="A1034"/>
      <c r="B1034" s="97"/>
    </row>
    <row r="1035" spans="1:2" s="32" customFormat="1" x14ac:dyDescent="0.3">
      <c r="A1035"/>
      <c r="B1035" s="97"/>
    </row>
    <row r="1036" spans="1:2" s="32" customFormat="1" x14ac:dyDescent="0.3">
      <c r="A1036"/>
      <c r="B1036" s="97"/>
    </row>
    <row r="1037" spans="1:2" s="32" customFormat="1" x14ac:dyDescent="0.3">
      <c r="A1037"/>
      <c r="B1037" s="97"/>
    </row>
    <row r="1038" spans="1:2" s="32" customFormat="1" x14ac:dyDescent="0.3">
      <c r="A1038"/>
      <c r="B1038" s="97"/>
    </row>
    <row r="1039" spans="1:2" s="32" customFormat="1" x14ac:dyDescent="0.3">
      <c r="A1039"/>
      <c r="B1039" s="97"/>
    </row>
    <row r="1040" spans="1:2" s="32" customFormat="1" x14ac:dyDescent="0.3">
      <c r="A1040"/>
      <c r="B1040" s="97"/>
    </row>
    <row r="1041" spans="1:2" s="32" customFormat="1" x14ac:dyDescent="0.3">
      <c r="A1041"/>
      <c r="B1041" s="97"/>
    </row>
    <row r="1042" spans="1:2" s="32" customFormat="1" x14ac:dyDescent="0.3">
      <c r="A1042"/>
      <c r="B1042" s="97"/>
    </row>
    <row r="1043" spans="1:2" s="32" customFormat="1" x14ac:dyDescent="0.3">
      <c r="A1043"/>
      <c r="B1043" s="97"/>
    </row>
    <row r="1044" spans="1:2" s="32" customFormat="1" x14ac:dyDescent="0.3">
      <c r="A1044"/>
      <c r="B1044" s="97"/>
    </row>
    <row r="1045" spans="1:2" s="32" customFormat="1" x14ac:dyDescent="0.3">
      <c r="A1045"/>
      <c r="B1045" s="97"/>
    </row>
    <row r="1046" spans="1:2" s="32" customFormat="1" x14ac:dyDescent="0.3">
      <c r="A1046"/>
      <c r="B1046" s="97"/>
    </row>
    <row r="1047" spans="1:2" s="32" customFormat="1" x14ac:dyDescent="0.3">
      <c r="A1047"/>
      <c r="B1047" s="97"/>
    </row>
    <row r="1048" spans="1:2" s="32" customFormat="1" x14ac:dyDescent="0.3">
      <c r="A1048"/>
      <c r="B1048" s="97"/>
    </row>
    <row r="1049" spans="1:2" s="32" customFormat="1" x14ac:dyDescent="0.3">
      <c r="A1049"/>
      <c r="B1049" s="97"/>
    </row>
    <row r="1050" spans="1:2" s="32" customFormat="1" x14ac:dyDescent="0.3">
      <c r="A1050"/>
      <c r="B1050" s="97"/>
    </row>
    <row r="1051" spans="1:2" s="32" customFormat="1" x14ac:dyDescent="0.3">
      <c r="A1051"/>
      <c r="B1051" s="97"/>
    </row>
    <row r="1052" spans="1:2" s="32" customFormat="1" x14ac:dyDescent="0.3">
      <c r="A1052"/>
      <c r="B1052" s="97"/>
    </row>
    <row r="1053" spans="1:2" s="32" customFormat="1" x14ac:dyDescent="0.3">
      <c r="A1053"/>
      <c r="B1053" s="97"/>
    </row>
    <row r="1054" spans="1:2" s="32" customFormat="1" x14ac:dyDescent="0.3">
      <c r="A1054"/>
      <c r="B1054" s="97"/>
    </row>
    <row r="1055" spans="1:2" s="32" customFormat="1" x14ac:dyDescent="0.3">
      <c r="A1055"/>
      <c r="B1055" s="97"/>
    </row>
    <row r="1056" spans="1:2" s="32" customFormat="1" x14ac:dyDescent="0.3">
      <c r="A1056"/>
      <c r="B1056" s="97"/>
    </row>
    <row r="1057" spans="1:2" s="32" customFormat="1" x14ac:dyDescent="0.3">
      <c r="A1057"/>
      <c r="B1057" s="97"/>
    </row>
    <row r="1058" spans="1:2" s="32" customFormat="1" x14ac:dyDescent="0.3">
      <c r="A1058"/>
      <c r="B1058" s="97"/>
    </row>
    <row r="1059" spans="1:2" s="32" customFormat="1" x14ac:dyDescent="0.3">
      <c r="A1059"/>
      <c r="B1059" s="97"/>
    </row>
    <row r="1060" spans="1:2" s="32" customFormat="1" x14ac:dyDescent="0.3">
      <c r="A1060"/>
      <c r="B1060" s="97"/>
    </row>
    <row r="1061" spans="1:2" s="32" customFormat="1" x14ac:dyDescent="0.3">
      <c r="A1061"/>
      <c r="B1061" s="97"/>
    </row>
    <row r="1062" spans="1:2" s="32" customFormat="1" x14ac:dyDescent="0.3">
      <c r="A1062"/>
      <c r="B1062" s="97"/>
    </row>
    <row r="1063" spans="1:2" s="32" customFormat="1" x14ac:dyDescent="0.3">
      <c r="A1063"/>
      <c r="B1063" s="97"/>
    </row>
    <row r="1064" spans="1:2" s="32" customFormat="1" x14ac:dyDescent="0.3">
      <c r="A1064"/>
      <c r="B1064" s="97"/>
    </row>
    <row r="1065" spans="1:2" s="32" customFormat="1" x14ac:dyDescent="0.3">
      <c r="A1065"/>
      <c r="B1065" s="97"/>
    </row>
    <row r="1066" spans="1:2" s="32" customFormat="1" x14ac:dyDescent="0.3">
      <c r="A1066"/>
      <c r="B1066" s="97"/>
    </row>
    <row r="1067" spans="1:2" s="32" customFormat="1" x14ac:dyDescent="0.3">
      <c r="A1067"/>
      <c r="B1067" s="97"/>
    </row>
    <row r="1068" spans="1:2" s="32" customFormat="1" x14ac:dyDescent="0.3">
      <c r="A1068"/>
      <c r="B1068" s="97"/>
    </row>
    <row r="1069" spans="1:2" s="32" customFormat="1" x14ac:dyDescent="0.3">
      <c r="A1069"/>
      <c r="B1069" s="97"/>
    </row>
    <row r="1070" spans="1:2" s="32" customFormat="1" x14ac:dyDescent="0.3">
      <c r="A1070"/>
      <c r="B1070" s="97"/>
    </row>
    <row r="1071" spans="1:2" s="32" customFormat="1" x14ac:dyDescent="0.3">
      <c r="A1071"/>
      <c r="B1071" s="97"/>
    </row>
    <row r="1072" spans="1:2" s="32" customFormat="1" x14ac:dyDescent="0.3">
      <c r="A1072"/>
      <c r="B1072" s="97"/>
    </row>
    <row r="1073" spans="1:2" s="32" customFormat="1" x14ac:dyDescent="0.3">
      <c r="A1073"/>
      <c r="B1073" s="97"/>
    </row>
    <row r="1074" spans="1:2" s="32" customFormat="1" x14ac:dyDescent="0.3">
      <c r="A1074"/>
      <c r="B1074" s="97"/>
    </row>
    <row r="1075" spans="1:2" s="32" customFormat="1" x14ac:dyDescent="0.3">
      <c r="A1075"/>
      <c r="B1075" s="97"/>
    </row>
    <row r="1076" spans="1:2" s="32" customFormat="1" x14ac:dyDescent="0.3">
      <c r="A1076"/>
      <c r="B1076" s="97"/>
    </row>
    <row r="1077" spans="1:2" s="32" customFormat="1" x14ac:dyDescent="0.3">
      <c r="A1077"/>
      <c r="B1077" s="97"/>
    </row>
    <row r="1078" spans="1:2" s="32" customFormat="1" x14ac:dyDescent="0.3">
      <c r="A1078"/>
      <c r="B1078" s="97"/>
    </row>
    <row r="1079" spans="1:2" s="32" customFormat="1" x14ac:dyDescent="0.3">
      <c r="A1079"/>
      <c r="B1079" s="97"/>
    </row>
    <row r="1080" spans="1:2" s="32" customFormat="1" x14ac:dyDescent="0.3">
      <c r="A1080"/>
      <c r="B1080" s="97"/>
    </row>
    <row r="1081" spans="1:2" s="32" customFormat="1" x14ac:dyDescent="0.3">
      <c r="A1081"/>
      <c r="B1081" s="97"/>
    </row>
    <row r="1082" spans="1:2" s="32" customFormat="1" x14ac:dyDescent="0.3">
      <c r="A1082"/>
      <c r="B1082" s="97"/>
    </row>
    <row r="1083" spans="1:2" s="32" customFormat="1" x14ac:dyDescent="0.3">
      <c r="A1083"/>
      <c r="B1083" s="97"/>
    </row>
    <row r="1084" spans="1:2" s="32" customFormat="1" x14ac:dyDescent="0.3">
      <c r="A1084"/>
      <c r="B1084" s="97"/>
    </row>
    <row r="1085" spans="1:2" s="32" customFormat="1" x14ac:dyDescent="0.3">
      <c r="A1085"/>
      <c r="B1085" s="97"/>
    </row>
    <row r="1086" spans="1:2" s="32" customFormat="1" x14ac:dyDescent="0.3">
      <c r="A1086"/>
      <c r="B1086" s="97"/>
    </row>
    <row r="1087" spans="1:2" s="32" customFormat="1" x14ac:dyDescent="0.3">
      <c r="A1087"/>
      <c r="B1087" s="97"/>
    </row>
    <row r="1088" spans="1:2" s="32" customFormat="1" x14ac:dyDescent="0.3">
      <c r="A1088"/>
      <c r="B1088" s="97"/>
    </row>
    <row r="1089" spans="1:2" s="32" customFormat="1" x14ac:dyDescent="0.3">
      <c r="A1089"/>
      <c r="B1089" s="97"/>
    </row>
    <row r="1090" spans="1:2" s="32" customFormat="1" x14ac:dyDescent="0.3">
      <c r="A1090"/>
      <c r="B1090" s="97"/>
    </row>
    <row r="1091" spans="1:2" s="32" customFormat="1" x14ac:dyDescent="0.3">
      <c r="A1091"/>
      <c r="B1091" s="97"/>
    </row>
    <row r="1092" spans="1:2" s="32" customFormat="1" x14ac:dyDescent="0.3">
      <c r="A1092"/>
      <c r="B1092" s="97"/>
    </row>
    <row r="1093" spans="1:2" s="32" customFormat="1" x14ac:dyDescent="0.3">
      <c r="A1093"/>
      <c r="B1093" s="97"/>
    </row>
    <row r="1094" spans="1:2" s="32" customFormat="1" x14ac:dyDescent="0.3">
      <c r="A1094"/>
      <c r="B1094" s="97"/>
    </row>
    <row r="1095" spans="1:2" s="32" customFormat="1" x14ac:dyDescent="0.3">
      <c r="A1095"/>
      <c r="B1095" s="97"/>
    </row>
    <row r="1096" spans="1:2" s="32" customFormat="1" x14ac:dyDescent="0.3">
      <c r="A1096"/>
      <c r="B1096" s="97"/>
    </row>
    <row r="1097" spans="1:2" s="32" customFormat="1" x14ac:dyDescent="0.3">
      <c r="A1097"/>
      <c r="B1097" s="97"/>
    </row>
    <row r="1098" spans="1:2" s="32" customFormat="1" x14ac:dyDescent="0.3">
      <c r="A1098"/>
      <c r="B1098" s="97"/>
    </row>
    <row r="1099" spans="1:2" s="32" customFormat="1" x14ac:dyDescent="0.3">
      <c r="A1099"/>
      <c r="B1099" s="97"/>
    </row>
    <row r="1100" spans="1:2" s="32" customFormat="1" x14ac:dyDescent="0.3">
      <c r="A1100"/>
      <c r="B1100" s="97"/>
    </row>
    <row r="1101" spans="1:2" s="32" customFormat="1" x14ac:dyDescent="0.3">
      <c r="A1101"/>
      <c r="B1101" s="97"/>
    </row>
    <row r="1102" spans="1:2" s="32" customFormat="1" x14ac:dyDescent="0.3">
      <c r="A1102"/>
      <c r="B1102" s="97"/>
    </row>
    <row r="1103" spans="1:2" s="32" customFormat="1" x14ac:dyDescent="0.3">
      <c r="A1103"/>
      <c r="B1103" s="97"/>
    </row>
    <row r="1104" spans="1:2" s="32" customFormat="1" x14ac:dyDescent="0.3">
      <c r="A1104"/>
      <c r="B1104" s="97"/>
    </row>
    <row r="1105" spans="1:2" s="32" customFormat="1" x14ac:dyDescent="0.3">
      <c r="A1105"/>
      <c r="B1105" s="97"/>
    </row>
    <row r="1106" spans="1:2" s="32" customFormat="1" x14ac:dyDescent="0.3">
      <c r="A1106"/>
      <c r="B1106" s="97"/>
    </row>
    <row r="1107" spans="1:2" s="32" customFormat="1" x14ac:dyDescent="0.3">
      <c r="A1107"/>
      <c r="B1107" s="97"/>
    </row>
    <row r="1108" spans="1:2" s="32" customFormat="1" x14ac:dyDescent="0.3">
      <c r="A1108"/>
      <c r="B1108" s="97"/>
    </row>
    <row r="1109" spans="1:2" s="32" customFormat="1" x14ac:dyDescent="0.3">
      <c r="A1109"/>
      <c r="B1109" s="97"/>
    </row>
    <row r="1110" spans="1:2" s="32" customFormat="1" x14ac:dyDescent="0.3">
      <c r="A1110"/>
      <c r="B1110" s="97"/>
    </row>
    <row r="1111" spans="1:2" s="32" customFormat="1" x14ac:dyDescent="0.3">
      <c r="A1111"/>
      <c r="B1111" s="97"/>
    </row>
    <row r="1112" spans="1:2" s="32" customFormat="1" x14ac:dyDescent="0.3">
      <c r="A1112"/>
      <c r="B1112" s="97"/>
    </row>
    <row r="1113" spans="1:2" s="32" customFormat="1" x14ac:dyDescent="0.3">
      <c r="A1113"/>
      <c r="B1113" s="97"/>
    </row>
    <row r="1114" spans="1:2" s="32" customFormat="1" x14ac:dyDescent="0.3">
      <c r="A1114"/>
      <c r="B1114" s="97"/>
    </row>
    <row r="1115" spans="1:2" s="32" customFormat="1" x14ac:dyDescent="0.3">
      <c r="A1115"/>
      <c r="B1115" s="97"/>
    </row>
    <row r="1116" spans="1:2" s="32" customFormat="1" x14ac:dyDescent="0.3">
      <c r="A1116"/>
      <c r="B1116" s="97"/>
    </row>
    <row r="1117" spans="1:2" s="32" customFormat="1" x14ac:dyDescent="0.3">
      <c r="A1117"/>
      <c r="B1117" s="97"/>
    </row>
    <row r="1118" spans="1:2" s="32" customFormat="1" x14ac:dyDescent="0.3">
      <c r="A1118"/>
      <c r="B1118" s="97"/>
    </row>
    <row r="1119" spans="1:2" s="32" customFormat="1" x14ac:dyDescent="0.3">
      <c r="A1119"/>
      <c r="B1119" s="97"/>
    </row>
    <row r="1120" spans="1:2" s="32" customFormat="1" x14ac:dyDescent="0.3">
      <c r="A1120"/>
      <c r="B1120" s="97"/>
    </row>
    <row r="1121" spans="1:2" s="32" customFormat="1" x14ac:dyDescent="0.3">
      <c r="A1121"/>
      <c r="B1121" s="97"/>
    </row>
    <row r="1122" spans="1:2" s="32" customFormat="1" x14ac:dyDescent="0.3">
      <c r="A1122"/>
      <c r="B1122" s="97"/>
    </row>
    <row r="1123" spans="1:2" s="32" customFormat="1" x14ac:dyDescent="0.3">
      <c r="A1123"/>
      <c r="B1123" s="97"/>
    </row>
    <row r="1124" spans="1:2" s="32" customFormat="1" x14ac:dyDescent="0.3">
      <c r="A1124"/>
      <c r="B1124" s="97"/>
    </row>
    <row r="1125" spans="1:2" s="32" customFormat="1" x14ac:dyDescent="0.3">
      <c r="A1125"/>
      <c r="B1125" s="97"/>
    </row>
    <row r="1126" spans="1:2" s="32" customFormat="1" x14ac:dyDescent="0.3">
      <c r="A1126"/>
      <c r="B1126" s="97"/>
    </row>
    <row r="1127" spans="1:2" s="32" customFormat="1" x14ac:dyDescent="0.3">
      <c r="A1127"/>
      <c r="B1127" s="97"/>
    </row>
    <row r="1128" spans="1:2" s="32" customFormat="1" x14ac:dyDescent="0.3">
      <c r="A1128"/>
      <c r="B1128" s="97"/>
    </row>
    <row r="1129" spans="1:2" s="32" customFormat="1" x14ac:dyDescent="0.3">
      <c r="A1129"/>
      <c r="B1129" s="97"/>
    </row>
    <row r="1130" spans="1:2" s="32" customFormat="1" x14ac:dyDescent="0.3">
      <c r="A1130"/>
      <c r="B1130" s="97"/>
    </row>
    <row r="1131" spans="1:2" s="32" customFormat="1" x14ac:dyDescent="0.3">
      <c r="A1131"/>
      <c r="B1131" s="97"/>
    </row>
    <row r="1132" spans="1:2" s="32" customFormat="1" x14ac:dyDescent="0.3">
      <c r="A1132"/>
      <c r="B1132" s="97"/>
    </row>
    <row r="1133" spans="1:2" s="32" customFormat="1" x14ac:dyDescent="0.3">
      <c r="A1133"/>
      <c r="B1133" s="97"/>
    </row>
    <row r="1134" spans="1:2" s="32" customFormat="1" x14ac:dyDescent="0.3">
      <c r="A1134"/>
      <c r="B1134" s="97"/>
    </row>
    <row r="1135" spans="1:2" s="32" customFormat="1" x14ac:dyDescent="0.3">
      <c r="A1135"/>
      <c r="B1135" s="97"/>
    </row>
    <row r="1136" spans="1:2" s="32" customFormat="1" x14ac:dyDescent="0.3">
      <c r="A1136"/>
      <c r="B1136" s="97"/>
    </row>
    <row r="1137" spans="1:2" s="32" customFormat="1" x14ac:dyDescent="0.3">
      <c r="A1137"/>
      <c r="B1137" s="97"/>
    </row>
    <row r="1138" spans="1:2" s="32" customFormat="1" x14ac:dyDescent="0.3">
      <c r="A1138"/>
      <c r="B1138" s="97"/>
    </row>
    <row r="1139" spans="1:2" s="32" customFormat="1" x14ac:dyDescent="0.3">
      <c r="A1139"/>
      <c r="B1139" s="97"/>
    </row>
    <row r="1140" spans="1:2" s="32" customFormat="1" x14ac:dyDescent="0.3">
      <c r="A1140"/>
      <c r="B1140" s="97"/>
    </row>
    <row r="1141" spans="1:2" s="32" customFormat="1" x14ac:dyDescent="0.3">
      <c r="A1141"/>
      <c r="B1141" s="97"/>
    </row>
    <row r="1142" spans="1:2" s="32" customFormat="1" x14ac:dyDescent="0.3">
      <c r="A1142"/>
      <c r="B1142" s="97"/>
    </row>
    <row r="1143" spans="1:2" s="32" customFormat="1" x14ac:dyDescent="0.3">
      <c r="A1143"/>
      <c r="B1143" s="97"/>
    </row>
    <row r="1144" spans="1:2" s="32" customFormat="1" x14ac:dyDescent="0.3">
      <c r="A1144"/>
      <c r="B1144" s="97"/>
    </row>
    <row r="1145" spans="1:2" s="32" customFormat="1" x14ac:dyDescent="0.3">
      <c r="A1145"/>
      <c r="B1145" s="97"/>
    </row>
    <row r="1146" spans="1:2" s="32" customFormat="1" x14ac:dyDescent="0.3">
      <c r="A1146"/>
      <c r="B1146" s="97"/>
    </row>
    <row r="1147" spans="1:2" s="32" customFormat="1" x14ac:dyDescent="0.3">
      <c r="A1147"/>
      <c r="B1147" s="97"/>
    </row>
    <row r="1148" spans="1:2" s="32" customFormat="1" x14ac:dyDescent="0.3">
      <c r="A1148"/>
      <c r="B1148" s="97"/>
    </row>
    <row r="1149" spans="1:2" s="32" customFormat="1" x14ac:dyDescent="0.3">
      <c r="A1149"/>
      <c r="B1149" s="97"/>
    </row>
    <row r="1150" spans="1:2" s="32" customFormat="1" x14ac:dyDescent="0.3">
      <c r="A1150"/>
      <c r="B1150" s="97"/>
    </row>
    <row r="1151" spans="1:2" s="32" customFormat="1" x14ac:dyDescent="0.3">
      <c r="A1151"/>
      <c r="B1151" s="97"/>
    </row>
    <row r="1152" spans="1:2" s="32" customFormat="1" x14ac:dyDescent="0.3">
      <c r="A1152"/>
      <c r="B1152" s="97"/>
    </row>
    <row r="1153" spans="1:2" s="32" customFormat="1" x14ac:dyDescent="0.3">
      <c r="A1153"/>
      <c r="B1153" s="97"/>
    </row>
    <row r="1154" spans="1:2" s="32" customFormat="1" x14ac:dyDescent="0.3">
      <c r="A1154"/>
      <c r="B1154" s="97"/>
    </row>
    <row r="1155" spans="1:2" s="32" customFormat="1" x14ac:dyDescent="0.3">
      <c r="A1155"/>
      <c r="B1155" s="97"/>
    </row>
    <row r="1156" spans="1:2" s="32" customFormat="1" x14ac:dyDescent="0.3">
      <c r="A1156"/>
      <c r="B1156" s="97"/>
    </row>
    <row r="1157" spans="1:2" s="32" customFormat="1" x14ac:dyDescent="0.3">
      <c r="A1157"/>
      <c r="B1157" s="97"/>
    </row>
    <row r="1158" spans="1:2" s="32" customFormat="1" x14ac:dyDescent="0.3">
      <c r="A1158"/>
      <c r="B1158" s="97"/>
    </row>
    <row r="1159" spans="1:2" s="32" customFormat="1" x14ac:dyDescent="0.3">
      <c r="A1159"/>
      <c r="B1159" s="97"/>
    </row>
    <row r="1160" spans="1:2" s="32" customFormat="1" x14ac:dyDescent="0.3">
      <c r="A1160"/>
      <c r="B1160" s="97"/>
    </row>
    <row r="1161" spans="1:2" s="32" customFormat="1" x14ac:dyDescent="0.3">
      <c r="A1161"/>
      <c r="B1161" s="97"/>
    </row>
    <row r="1162" spans="1:2" s="32" customFormat="1" x14ac:dyDescent="0.3">
      <c r="A1162"/>
      <c r="B1162" s="97"/>
    </row>
    <row r="1163" spans="1:2" s="32" customFormat="1" x14ac:dyDescent="0.3">
      <c r="A1163"/>
      <c r="B1163" s="97"/>
    </row>
    <row r="1164" spans="1:2" s="32" customFormat="1" x14ac:dyDescent="0.3">
      <c r="A1164"/>
      <c r="B1164" s="97"/>
    </row>
    <row r="1165" spans="1:2" s="32" customFormat="1" x14ac:dyDescent="0.3">
      <c r="A1165"/>
      <c r="B1165" s="97"/>
    </row>
    <row r="1166" spans="1:2" s="32" customFormat="1" x14ac:dyDescent="0.3">
      <c r="A1166"/>
      <c r="B1166" s="97"/>
    </row>
    <row r="1167" spans="1:2" s="32" customFormat="1" x14ac:dyDescent="0.3">
      <c r="A1167"/>
      <c r="B1167" s="97"/>
    </row>
    <row r="1168" spans="1:2" s="32" customFormat="1" x14ac:dyDescent="0.3">
      <c r="A1168"/>
      <c r="B1168" s="97"/>
    </row>
    <row r="1169" spans="1:2" s="32" customFormat="1" x14ac:dyDescent="0.3">
      <c r="A1169"/>
      <c r="B1169" s="97"/>
    </row>
    <row r="1170" spans="1:2" s="32" customFormat="1" x14ac:dyDescent="0.3">
      <c r="A1170"/>
      <c r="B1170" s="97"/>
    </row>
    <row r="1171" spans="1:2" s="32" customFormat="1" x14ac:dyDescent="0.3">
      <c r="A1171"/>
      <c r="B1171" s="97"/>
    </row>
    <row r="1172" spans="1:2" s="32" customFormat="1" x14ac:dyDescent="0.3">
      <c r="A1172"/>
      <c r="B1172" s="97"/>
    </row>
    <row r="1173" spans="1:2" s="32" customFormat="1" x14ac:dyDescent="0.3">
      <c r="A1173"/>
      <c r="B1173" s="97"/>
    </row>
    <row r="1174" spans="1:2" s="32" customFormat="1" x14ac:dyDescent="0.3">
      <c r="A1174"/>
      <c r="B1174" s="97"/>
    </row>
    <row r="1175" spans="1:2" s="32" customFormat="1" x14ac:dyDescent="0.3">
      <c r="A1175"/>
      <c r="B1175" s="97"/>
    </row>
    <row r="1176" spans="1:2" s="32" customFormat="1" x14ac:dyDescent="0.3">
      <c r="A1176"/>
      <c r="B1176" s="97"/>
    </row>
    <row r="1177" spans="1:2" s="32" customFormat="1" x14ac:dyDescent="0.3">
      <c r="A1177"/>
      <c r="B1177" s="97"/>
    </row>
    <row r="1178" spans="1:2" s="32" customFormat="1" x14ac:dyDescent="0.3">
      <c r="A1178"/>
      <c r="B1178" s="97"/>
    </row>
    <row r="1179" spans="1:2" s="32" customFormat="1" x14ac:dyDescent="0.3">
      <c r="A1179"/>
      <c r="B1179" s="97"/>
    </row>
    <row r="1180" spans="1:2" s="32" customFormat="1" x14ac:dyDescent="0.3">
      <c r="A1180"/>
      <c r="B1180" s="97"/>
    </row>
    <row r="1181" spans="1:2" s="32" customFormat="1" x14ac:dyDescent="0.3">
      <c r="A1181"/>
      <c r="B1181" s="97"/>
    </row>
    <row r="1182" spans="1:2" s="32" customFormat="1" x14ac:dyDescent="0.3">
      <c r="A1182"/>
      <c r="B1182" s="97"/>
    </row>
    <row r="1183" spans="1:2" s="32" customFormat="1" x14ac:dyDescent="0.3">
      <c r="A1183"/>
      <c r="B1183" s="97"/>
    </row>
    <row r="1184" spans="1:2" s="32" customFormat="1" x14ac:dyDescent="0.3">
      <c r="A1184"/>
      <c r="B1184" s="97"/>
    </row>
    <row r="1185" spans="1:2" s="32" customFormat="1" x14ac:dyDescent="0.3">
      <c r="A1185"/>
      <c r="B1185" s="97"/>
    </row>
    <row r="1186" spans="1:2" s="32" customFormat="1" x14ac:dyDescent="0.3">
      <c r="A1186"/>
      <c r="B1186" s="97"/>
    </row>
    <row r="1187" spans="1:2" s="32" customFormat="1" x14ac:dyDescent="0.3">
      <c r="A1187"/>
      <c r="B1187" s="97"/>
    </row>
    <row r="1188" spans="1:2" s="32" customFormat="1" x14ac:dyDescent="0.3">
      <c r="A1188"/>
      <c r="B1188" s="97"/>
    </row>
    <row r="1189" spans="1:2" s="32" customFormat="1" x14ac:dyDescent="0.3">
      <c r="A1189"/>
      <c r="B1189" s="97"/>
    </row>
    <row r="1190" spans="1:2" s="32" customFormat="1" x14ac:dyDescent="0.3">
      <c r="A1190"/>
      <c r="B1190" s="97"/>
    </row>
    <row r="1191" spans="1:2" s="32" customFormat="1" x14ac:dyDescent="0.3">
      <c r="A1191"/>
      <c r="B1191" s="97"/>
    </row>
    <row r="1192" spans="1:2" s="32" customFormat="1" x14ac:dyDescent="0.3">
      <c r="A1192"/>
      <c r="B1192" s="97"/>
    </row>
    <row r="1193" spans="1:2" s="32" customFormat="1" x14ac:dyDescent="0.3">
      <c r="A1193"/>
      <c r="B1193" s="97"/>
    </row>
    <row r="1194" spans="1:2" s="32" customFormat="1" x14ac:dyDescent="0.3">
      <c r="A1194"/>
      <c r="B1194" s="97"/>
    </row>
    <row r="1195" spans="1:2" s="32" customFormat="1" x14ac:dyDescent="0.3">
      <c r="A1195"/>
      <c r="B1195" s="97"/>
    </row>
    <row r="1196" spans="1:2" s="32" customFormat="1" x14ac:dyDescent="0.3">
      <c r="A1196"/>
      <c r="B1196" s="97"/>
    </row>
    <row r="1197" spans="1:2" s="32" customFormat="1" x14ac:dyDescent="0.3">
      <c r="A1197"/>
      <c r="B1197" s="97"/>
    </row>
    <row r="1198" spans="1:2" s="32" customFormat="1" x14ac:dyDescent="0.3">
      <c r="A1198"/>
      <c r="B1198" s="97"/>
    </row>
    <row r="1199" spans="1:2" s="32" customFormat="1" x14ac:dyDescent="0.3">
      <c r="A1199"/>
      <c r="B1199" s="97"/>
    </row>
    <row r="1200" spans="1:2" s="32" customFormat="1" x14ac:dyDescent="0.3">
      <c r="A1200"/>
      <c r="B1200" s="97"/>
    </row>
    <row r="1201" spans="1:2" s="32" customFormat="1" x14ac:dyDescent="0.3">
      <c r="A1201"/>
      <c r="B1201" s="97"/>
    </row>
    <row r="1202" spans="1:2" s="32" customFormat="1" x14ac:dyDescent="0.3">
      <c r="A1202"/>
      <c r="B1202" s="97"/>
    </row>
    <row r="1203" spans="1:2" s="32" customFormat="1" x14ac:dyDescent="0.3">
      <c r="A1203"/>
      <c r="B1203" s="97"/>
    </row>
    <row r="1204" spans="1:2" s="32" customFormat="1" x14ac:dyDescent="0.3">
      <c r="A1204"/>
      <c r="B1204" s="97"/>
    </row>
    <row r="1205" spans="1:2" s="32" customFormat="1" x14ac:dyDescent="0.3">
      <c r="A1205"/>
      <c r="B1205" s="97"/>
    </row>
    <row r="1206" spans="1:2" s="32" customFormat="1" x14ac:dyDescent="0.3">
      <c r="A1206"/>
      <c r="B1206" s="97"/>
    </row>
    <row r="1207" spans="1:2" s="32" customFormat="1" x14ac:dyDescent="0.3">
      <c r="A1207"/>
      <c r="B1207" s="97"/>
    </row>
    <row r="1208" spans="1:2" s="32" customFormat="1" x14ac:dyDescent="0.3">
      <c r="A1208"/>
      <c r="B1208" s="97"/>
    </row>
    <row r="1209" spans="1:2" s="32" customFormat="1" x14ac:dyDescent="0.3">
      <c r="A1209"/>
      <c r="B1209" s="97"/>
    </row>
    <row r="1210" spans="1:2" s="32" customFormat="1" x14ac:dyDescent="0.3">
      <c r="A1210"/>
      <c r="B1210" s="97"/>
    </row>
    <row r="1211" spans="1:2" s="32" customFormat="1" x14ac:dyDescent="0.3">
      <c r="A1211"/>
      <c r="B1211" s="97"/>
    </row>
    <row r="1212" spans="1:2" s="32" customFormat="1" x14ac:dyDescent="0.3">
      <c r="A1212"/>
      <c r="B1212" s="97"/>
    </row>
    <row r="1213" spans="1:2" s="32" customFormat="1" x14ac:dyDescent="0.3">
      <c r="A1213"/>
      <c r="B1213" s="97"/>
    </row>
    <row r="1214" spans="1:2" s="32" customFormat="1" x14ac:dyDescent="0.3">
      <c r="A1214"/>
      <c r="B1214" s="97"/>
    </row>
    <row r="1215" spans="1:2" s="32" customFormat="1" x14ac:dyDescent="0.3">
      <c r="A1215"/>
      <c r="B1215" s="97"/>
    </row>
    <row r="1216" spans="1:2" s="32" customFormat="1" x14ac:dyDescent="0.3">
      <c r="A1216"/>
      <c r="B1216" s="97"/>
    </row>
    <row r="1217" spans="1:2" s="32" customFormat="1" x14ac:dyDescent="0.3">
      <c r="A1217"/>
      <c r="B1217" s="97"/>
    </row>
    <row r="1218" spans="1:2" s="32" customFormat="1" x14ac:dyDescent="0.3">
      <c r="A1218"/>
      <c r="B1218" s="97"/>
    </row>
    <row r="1219" spans="1:2" s="32" customFormat="1" x14ac:dyDescent="0.3">
      <c r="A1219"/>
      <c r="B1219" s="97"/>
    </row>
    <row r="1220" spans="1:2" s="32" customFormat="1" x14ac:dyDescent="0.3">
      <c r="A1220"/>
      <c r="B1220" s="97"/>
    </row>
    <row r="1221" spans="1:2" s="32" customFormat="1" x14ac:dyDescent="0.3">
      <c r="A1221"/>
      <c r="B1221" s="97"/>
    </row>
    <row r="1222" spans="1:2" s="32" customFormat="1" x14ac:dyDescent="0.3">
      <c r="A1222"/>
      <c r="B1222" s="97"/>
    </row>
    <row r="1223" spans="1:2" s="32" customFormat="1" x14ac:dyDescent="0.3">
      <c r="A1223"/>
      <c r="B1223" s="97"/>
    </row>
    <row r="1224" spans="1:2" s="32" customFormat="1" x14ac:dyDescent="0.3">
      <c r="A1224"/>
      <c r="B1224" s="97"/>
    </row>
    <row r="1225" spans="1:2" s="32" customFormat="1" x14ac:dyDescent="0.3">
      <c r="A1225"/>
      <c r="B1225" s="97"/>
    </row>
    <row r="1226" spans="1:2" s="32" customFormat="1" x14ac:dyDescent="0.3">
      <c r="A1226"/>
      <c r="B1226" s="97"/>
    </row>
    <row r="1227" spans="1:2" s="32" customFormat="1" x14ac:dyDescent="0.3">
      <c r="A1227"/>
      <c r="B1227" s="97"/>
    </row>
    <row r="1228" spans="1:2" s="32" customFormat="1" x14ac:dyDescent="0.3">
      <c r="A1228"/>
      <c r="B1228" s="97"/>
    </row>
    <row r="1229" spans="1:2" s="32" customFormat="1" x14ac:dyDescent="0.3">
      <c r="A1229"/>
      <c r="B1229" s="97"/>
    </row>
    <row r="1230" spans="1:2" s="32" customFormat="1" x14ac:dyDescent="0.3">
      <c r="A1230"/>
      <c r="B1230" s="97"/>
    </row>
    <row r="1231" spans="1:2" s="32" customFormat="1" x14ac:dyDescent="0.3">
      <c r="A1231"/>
      <c r="B1231" s="97"/>
    </row>
    <row r="1232" spans="1:2" s="32" customFormat="1" x14ac:dyDescent="0.3">
      <c r="A1232"/>
      <c r="B1232" s="97"/>
    </row>
    <row r="1233" spans="1:2" s="32" customFormat="1" x14ac:dyDescent="0.3">
      <c r="A1233"/>
      <c r="B1233" s="97"/>
    </row>
    <row r="1234" spans="1:2" s="32" customFormat="1" x14ac:dyDescent="0.3">
      <c r="A1234"/>
      <c r="B1234" s="97"/>
    </row>
    <row r="1235" spans="1:2" s="32" customFormat="1" x14ac:dyDescent="0.3">
      <c r="A1235"/>
      <c r="B1235" s="97"/>
    </row>
    <row r="1236" spans="1:2" s="32" customFormat="1" x14ac:dyDescent="0.3">
      <c r="A1236"/>
      <c r="B1236" s="97"/>
    </row>
    <row r="1237" spans="1:2" s="32" customFormat="1" x14ac:dyDescent="0.3">
      <c r="A1237"/>
      <c r="B1237" s="97"/>
    </row>
    <row r="1238" spans="1:2" s="32" customFormat="1" x14ac:dyDescent="0.3">
      <c r="A1238"/>
      <c r="B1238" s="97"/>
    </row>
    <row r="1239" spans="1:2" s="32" customFormat="1" x14ac:dyDescent="0.3">
      <c r="A1239"/>
      <c r="B1239" s="97"/>
    </row>
    <row r="1240" spans="1:2" s="32" customFormat="1" x14ac:dyDescent="0.3">
      <c r="A1240"/>
      <c r="B1240" s="97"/>
    </row>
    <row r="1241" spans="1:2" s="32" customFormat="1" x14ac:dyDescent="0.3">
      <c r="A1241"/>
      <c r="B1241" s="97"/>
    </row>
    <row r="1242" spans="1:2" s="32" customFormat="1" x14ac:dyDescent="0.3">
      <c r="A1242"/>
      <c r="B1242" s="97"/>
    </row>
    <row r="1243" spans="1:2" s="32" customFormat="1" x14ac:dyDescent="0.3">
      <c r="A1243"/>
      <c r="B1243" s="97"/>
    </row>
    <row r="1244" spans="1:2" s="32" customFormat="1" x14ac:dyDescent="0.3">
      <c r="A1244"/>
      <c r="B1244" s="97"/>
    </row>
    <row r="1245" spans="1:2" s="32" customFormat="1" x14ac:dyDescent="0.3">
      <c r="A1245"/>
      <c r="B1245" s="97"/>
    </row>
    <row r="1246" spans="1:2" s="32" customFormat="1" x14ac:dyDescent="0.3">
      <c r="A1246"/>
      <c r="B1246" s="97"/>
    </row>
    <row r="1247" spans="1:2" s="32" customFormat="1" x14ac:dyDescent="0.3">
      <c r="A1247"/>
      <c r="B1247" s="97"/>
    </row>
    <row r="1248" spans="1:2" s="32" customFormat="1" x14ac:dyDescent="0.3">
      <c r="A1248"/>
      <c r="B1248" s="97"/>
    </row>
    <row r="1249" spans="1:2" s="32" customFormat="1" x14ac:dyDescent="0.3">
      <c r="A1249"/>
      <c r="B1249" s="97"/>
    </row>
    <row r="1250" spans="1:2" s="32" customFormat="1" x14ac:dyDescent="0.3">
      <c r="A1250"/>
      <c r="B1250" s="97"/>
    </row>
    <row r="1251" spans="1:2" s="32" customFormat="1" x14ac:dyDescent="0.3">
      <c r="A1251"/>
      <c r="B1251" s="97"/>
    </row>
    <row r="1252" spans="1:2" s="32" customFormat="1" x14ac:dyDescent="0.3">
      <c r="A1252"/>
      <c r="B1252" s="97"/>
    </row>
    <row r="1253" spans="1:2" s="32" customFormat="1" x14ac:dyDescent="0.3">
      <c r="A1253"/>
      <c r="B1253" s="97"/>
    </row>
    <row r="1254" spans="1:2" s="32" customFormat="1" x14ac:dyDescent="0.3">
      <c r="A1254"/>
      <c r="B1254" s="97"/>
    </row>
    <row r="1255" spans="1:2" s="32" customFormat="1" x14ac:dyDescent="0.3">
      <c r="A1255"/>
      <c r="B1255" s="97"/>
    </row>
    <row r="1256" spans="1:2" s="32" customFormat="1" x14ac:dyDescent="0.3">
      <c r="A1256"/>
      <c r="B1256" s="97"/>
    </row>
    <row r="1257" spans="1:2" s="32" customFormat="1" x14ac:dyDescent="0.3">
      <c r="A1257"/>
      <c r="B1257" s="97"/>
    </row>
    <row r="1258" spans="1:2" s="32" customFormat="1" x14ac:dyDescent="0.3">
      <c r="A1258"/>
      <c r="B1258" s="97"/>
    </row>
    <row r="1259" spans="1:2" s="32" customFormat="1" x14ac:dyDescent="0.3">
      <c r="A1259"/>
      <c r="B1259" s="97"/>
    </row>
    <row r="1260" spans="1:2" s="32" customFormat="1" x14ac:dyDescent="0.3">
      <c r="A1260"/>
      <c r="B1260" s="97"/>
    </row>
    <row r="1261" spans="1:2" s="32" customFormat="1" x14ac:dyDescent="0.3">
      <c r="A1261"/>
      <c r="B1261" s="97"/>
    </row>
    <row r="1262" spans="1:2" s="32" customFormat="1" x14ac:dyDescent="0.3">
      <c r="A1262"/>
      <c r="B1262" s="97"/>
    </row>
    <row r="1263" spans="1:2" s="32" customFormat="1" x14ac:dyDescent="0.3">
      <c r="A1263"/>
      <c r="B1263" s="97"/>
    </row>
    <row r="1264" spans="1:2" s="32" customFormat="1" x14ac:dyDescent="0.3">
      <c r="A1264"/>
      <c r="B1264" s="97"/>
    </row>
    <row r="1265" spans="1:2" s="32" customFormat="1" x14ac:dyDescent="0.3">
      <c r="A1265"/>
      <c r="B1265" s="97"/>
    </row>
    <row r="1266" spans="1:2" s="32" customFormat="1" x14ac:dyDescent="0.3">
      <c r="A1266"/>
      <c r="B1266" s="97"/>
    </row>
    <row r="1267" spans="1:2" s="32" customFormat="1" x14ac:dyDescent="0.3">
      <c r="A1267"/>
      <c r="B1267" s="97"/>
    </row>
    <row r="1268" spans="1:2" s="32" customFormat="1" x14ac:dyDescent="0.3">
      <c r="A1268"/>
      <c r="B1268" s="97"/>
    </row>
    <row r="1269" spans="1:2" s="32" customFormat="1" x14ac:dyDescent="0.3">
      <c r="A1269"/>
      <c r="B1269" s="97"/>
    </row>
    <row r="1270" spans="1:2" s="32" customFormat="1" x14ac:dyDescent="0.3">
      <c r="A1270"/>
      <c r="B1270" s="97"/>
    </row>
    <row r="1271" spans="1:2" s="32" customFormat="1" x14ac:dyDescent="0.3">
      <c r="A1271"/>
      <c r="B1271" s="97"/>
    </row>
    <row r="1272" spans="1:2" s="32" customFormat="1" x14ac:dyDescent="0.3">
      <c r="A1272"/>
      <c r="B1272" s="97"/>
    </row>
    <row r="1273" spans="1:2" s="32" customFormat="1" x14ac:dyDescent="0.3">
      <c r="A1273"/>
      <c r="B1273" s="97"/>
    </row>
    <row r="1274" spans="1:2" s="32" customFormat="1" x14ac:dyDescent="0.3">
      <c r="A1274"/>
      <c r="B1274" s="97"/>
    </row>
    <row r="1275" spans="1:2" s="32" customFormat="1" x14ac:dyDescent="0.3">
      <c r="A1275"/>
      <c r="B1275" s="97"/>
    </row>
    <row r="1276" spans="1:2" s="32" customFormat="1" x14ac:dyDescent="0.3">
      <c r="A1276"/>
      <c r="B1276" s="97"/>
    </row>
    <row r="1277" spans="1:2" s="32" customFormat="1" x14ac:dyDescent="0.3">
      <c r="A1277"/>
      <c r="B1277" s="97"/>
    </row>
    <row r="1278" spans="1:2" s="32" customFormat="1" x14ac:dyDescent="0.3">
      <c r="A1278"/>
      <c r="B1278" s="97"/>
    </row>
    <row r="1279" spans="1:2" s="32" customFormat="1" x14ac:dyDescent="0.3">
      <c r="A1279"/>
      <c r="B1279" s="97"/>
    </row>
    <row r="1280" spans="1:2" s="32" customFormat="1" x14ac:dyDescent="0.3">
      <c r="A1280"/>
      <c r="B1280" s="97"/>
    </row>
    <row r="1281" spans="1:2" s="32" customFormat="1" x14ac:dyDescent="0.3">
      <c r="A1281"/>
      <c r="B1281" s="97"/>
    </row>
    <row r="1282" spans="1:2" s="32" customFormat="1" x14ac:dyDescent="0.3">
      <c r="A1282"/>
      <c r="B1282" s="9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F744-ED2D-4513-8A6B-57799EDC07AC}">
  <dimension ref="B2:N32"/>
  <sheetViews>
    <sheetView showGridLines="0" zoomScaleNormal="100" workbookViewId="0">
      <selection activeCell="I38" sqref="I38"/>
    </sheetView>
  </sheetViews>
  <sheetFormatPr defaultRowHeight="14.4" x14ac:dyDescent="0.3"/>
  <cols>
    <col min="2" max="2" width="34.5546875" bestFit="1" customWidth="1"/>
  </cols>
  <sheetData>
    <row r="2" spans="2:14" x14ac:dyDescent="0.3">
      <c r="B2" s="20" t="s">
        <v>47</v>
      </c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 x14ac:dyDescent="0.3">
      <c r="N3" t="s">
        <v>43</v>
      </c>
    </row>
    <row r="4" spans="2:14" x14ac:dyDescent="0.3">
      <c r="B4" s="14" t="s">
        <v>48</v>
      </c>
      <c r="C4" s="15">
        <v>2014</v>
      </c>
      <c r="D4" s="15">
        <f>C4+1</f>
        <v>2015</v>
      </c>
      <c r="E4" s="15">
        <f t="shared" ref="E4:N4" si="0">D4+1</f>
        <v>2016</v>
      </c>
      <c r="F4" s="15">
        <f t="shared" si="0"/>
        <v>2017</v>
      </c>
      <c r="G4" s="15">
        <f t="shared" si="0"/>
        <v>2018</v>
      </c>
      <c r="H4" s="15">
        <f t="shared" si="0"/>
        <v>2019</v>
      </c>
      <c r="I4" s="15">
        <f t="shared" si="0"/>
        <v>2020</v>
      </c>
      <c r="J4" s="15">
        <f t="shared" si="0"/>
        <v>2021</v>
      </c>
      <c r="K4" s="15">
        <f t="shared" si="0"/>
        <v>2022</v>
      </c>
      <c r="L4" s="15">
        <f t="shared" si="0"/>
        <v>2023</v>
      </c>
      <c r="M4" s="15">
        <f t="shared" si="0"/>
        <v>2024</v>
      </c>
      <c r="N4" s="15">
        <f t="shared" si="0"/>
        <v>2025</v>
      </c>
    </row>
    <row r="5" spans="2:14" s="7" customFormat="1" ht="4.05" customHeight="1" x14ac:dyDescent="0.3"/>
    <row r="6" spans="2:14" x14ac:dyDescent="0.3">
      <c r="B6" t="s">
        <v>45</v>
      </c>
      <c r="C6" s="4">
        <v>87.7</v>
      </c>
      <c r="D6" s="4">
        <v>82.06</v>
      </c>
      <c r="E6" s="4">
        <v>59</v>
      </c>
      <c r="F6" s="4">
        <v>53.2</v>
      </c>
      <c r="G6" s="4">
        <v>41.3</v>
      </c>
      <c r="H6" s="4">
        <v>40</v>
      </c>
      <c r="I6" s="4">
        <v>38.85</v>
      </c>
      <c r="J6" s="4">
        <v>33.5</v>
      </c>
      <c r="K6" s="4">
        <v>36.409999999999997</v>
      </c>
      <c r="L6" s="4">
        <v>24.65</v>
      </c>
      <c r="M6" s="4">
        <v>11.1</v>
      </c>
      <c r="N6" s="4">
        <v>10.88</v>
      </c>
    </row>
    <row r="7" spans="2:14" x14ac:dyDescent="0.3">
      <c r="C7" s="16"/>
      <c r="D7" s="17">
        <f>LN(D6/C6)</f>
        <v>-6.6471212364097323E-2</v>
      </c>
      <c r="E7" s="17">
        <f t="shared" ref="E7:N7" si="1">LN(E6/D6)</f>
        <v>-0.3299132431083206</v>
      </c>
      <c r="F7" s="17">
        <f t="shared" si="1"/>
        <v>-0.10347904755812076</v>
      </c>
      <c r="G7" s="17">
        <f t="shared" si="1"/>
        <v>-0.2531958963806118</v>
      </c>
      <c r="H7" s="17">
        <f t="shared" si="1"/>
        <v>-3.1983045853050653E-2</v>
      </c>
      <c r="I7" s="17">
        <f t="shared" si="1"/>
        <v>-2.9171377300279796E-2</v>
      </c>
      <c r="J7" s="17">
        <f t="shared" si="1"/>
        <v>-0.14816263798263571</v>
      </c>
      <c r="K7" s="17">
        <f t="shared" si="1"/>
        <v>8.3298023356321318E-2</v>
      </c>
      <c r="L7" s="17">
        <f t="shared" si="1"/>
        <v>-0.3900665616986429</v>
      </c>
      <c r="M7" s="17">
        <f t="shared" si="1"/>
        <v>-0.79783179217041067</v>
      </c>
      <c r="N7" s="17">
        <f t="shared" si="1"/>
        <v>-2.0018866890491791E-2</v>
      </c>
    </row>
    <row r="8" spans="2:14" x14ac:dyDescent="0.3">
      <c r="B8" t="s">
        <v>44</v>
      </c>
      <c r="C8" s="23">
        <v>33</v>
      </c>
      <c r="D8" s="23">
        <v>35</v>
      </c>
      <c r="E8" s="23">
        <v>34</v>
      </c>
      <c r="F8" s="23">
        <v>36.799999999999997</v>
      </c>
      <c r="G8" s="23">
        <v>37.200000000000003</v>
      </c>
      <c r="H8" s="23">
        <v>41.6</v>
      </c>
      <c r="I8" s="23">
        <v>40.9</v>
      </c>
      <c r="J8" s="23">
        <v>37.200000000000003</v>
      </c>
      <c r="K8" s="23">
        <v>42.74</v>
      </c>
      <c r="L8" s="23">
        <v>47.85</v>
      </c>
      <c r="M8" s="23">
        <v>50.3</v>
      </c>
      <c r="N8" s="23">
        <v>53.12</v>
      </c>
    </row>
    <row r="9" spans="2:14" x14ac:dyDescent="0.3">
      <c r="C9" s="16"/>
      <c r="D9" s="17">
        <f>LN(D8/C8)</f>
        <v>5.8840500022933395E-2</v>
      </c>
      <c r="E9" s="17">
        <f>LN(E8/D8)</f>
        <v>-2.8987536873252298E-2</v>
      </c>
      <c r="F9" s="17">
        <f t="shared" ref="F9" si="2">LN(F8/E8)</f>
        <v>7.9137320558723787E-2</v>
      </c>
      <c r="G9" s="17">
        <f t="shared" ref="G9" si="3">LN(G8/F8)</f>
        <v>1.0810916104215676E-2</v>
      </c>
      <c r="H9" s="17">
        <f t="shared" ref="H9" si="4">LN(H8/G8)</f>
        <v>0.11179140598811663</v>
      </c>
      <c r="I9" s="17">
        <f t="shared" ref="I9" si="5">LN(I8/H8)</f>
        <v>-1.6970104218461589E-2</v>
      </c>
      <c r="J9" s="17">
        <f t="shared" ref="J9" si="6">LN(J8/I8)</f>
        <v>-9.48213017696551E-2</v>
      </c>
      <c r="K9" s="17">
        <f t="shared" ref="K9" si="7">LN(K8/J8)</f>
        <v>0.13882648861190069</v>
      </c>
      <c r="L9" s="17">
        <f t="shared" ref="L9" si="8">LN(L8/K8)</f>
        <v>0.11293586800796171</v>
      </c>
      <c r="M9" s="17">
        <f t="shared" ref="M9" si="9">LN(M8/L8)</f>
        <v>4.9933959206730258E-2</v>
      </c>
      <c r="N9" s="17">
        <f t="shared" ref="N9" si="10">LN(N8/M8)</f>
        <v>5.4548428062484958E-2</v>
      </c>
    </row>
    <row r="10" spans="2:14" x14ac:dyDescent="0.3">
      <c r="B10" t="s">
        <v>42</v>
      </c>
      <c r="C10" s="4">
        <f t="shared" ref="C10:N10" si="11">C8+C6</f>
        <v>120.7</v>
      </c>
      <c r="D10" s="4">
        <f t="shared" si="11"/>
        <v>117.06</v>
      </c>
      <c r="E10" s="4">
        <f t="shared" si="11"/>
        <v>93</v>
      </c>
      <c r="F10" s="4">
        <f t="shared" si="11"/>
        <v>90</v>
      </c>
      <c r="G10" s="4">
        <f t="shared" si="11"/>
        <v>78.5</v>
      </c>
      <c r="H10" s="4">
        <f t="shared" si="11"/>
        <v>81.599999999999994</v>
      </c>
      <c r="I10" s="4">
        <f t="shared" si="11"/>
        <v>79.75</v>
      </c>
      <c r="J10" s="4">
        <f t="shared" si="11"/>
        <v>70.7</v>
      </c>
      <c r="K10" s="4">
        <f t="shared" si="11"/>
        <v>79.150000000000006</v>
      </c>
      <c r="L10" s="4">
        <f t="shared" si="11"/>
        <v>72.5</v>
      </c>
      <c r="M10" s="4">
        <f t="shared" si="11"/>
        <v>61.4</v>
      </c>
      <c r="N10" s="4">
        <f t="shared" si="11"/>
        <v>64</v>
      </c>
    </row>
    <row r="11" spans="2:14" x14ac:dyDescent="0.3">
      <c r="C11" s="16"/>
      <c r="D11" s="17">
        <f>LN(D10/C10)</f>
        <v>-3.0621504240410938E-2</v>
      </c>
      <c r="E11" s="17">
        <f>LN(E10/D10)</f>
        <v>-0.2300871307098189</v>
      </c>
      <c r="F11" s="17">
        <f t="shared" ref="F11" si="12">LN(F10/E10)</f>
        <v>-3.2789822822990838E-2</v>
      </c>
      <c r="G11" s="17">
        <f t="shared" ref="G11" si="13">LN(G10/F10)</f>
        <v>-0.1367110455419023</v>
      </c>
      <c r="H11" s="17">
        <f t="shared" ref="H11" si="14">LN(H10/G10)</f>
        <v>3.8730637181698571E-2</v>
      </c>
      <c r="I11" s="17">
        <f t="shared" ref="I11" si="15">LN(I10/H10)</f>
        <v>-2.2932520305107292E-2</v>
      </c>
      <c r="J11" s="17">
        <f t="shared" ref="J11" si="16">LN(J10/I10)</f>
        <v>-0.1204511687624269</v>
      </c>
      <c r="K11" s="17">
        <f t="shared" ref="K11" si="17">LN(K10/J10)</f>
        <v>0.11289921342449415</v>
      </c>
      <c r="L11" s="17">
        <f t="shared" ref="L11" si="18">LN(L10/K10)</f>
        <v>-8.7758224466392087E-2</v>
      </c>
      <c r="M11" s="17">
        <f t="shared" ref="M11" si="19">LN(M10/L10)</f>
        <v>-0.16617672670753234</v>
      </c>
      <c r="N11" s="17">
        <f t="shared" ref="N11" si="20">LN(N10/M10)</f>
        <v>4.1473248206575095E-2</v>
      </c>
    </row>
    <row r="12" spans="2:14" x14ac:dyDescent="0.3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2:14" x14ac:dyDescent="0.3">
      <c r="B13" s="18" t="s">
        <v>46</v>
      </c>
      <c r="C13" s="19">
        <f>_xlfn.RRI(10,C8,N8)</f>
        <v>4.8755889346507875E-2</v>
      </c>
    </row>
    <row r="15" spans="2:14" x14ac:dyDescent="0.3">
      <c r="B15" t="s">
        <v>49</v>
      </c>
      <c r="C15" t="s">
        <v>50</v>
      </c>
      <c r="D15" t="s">
        <v>51</v>
      </c>
      <c r="E15" t="s">
        <v>52</v>
      </c>
    </row>
    <row r="16" spans="2:14" x14ac:dyDescent="0.3">
      <c r="B16" t="s">
        <v>77</v>
      </c>
      <c r="C16" t="s">
        <v>78</v>
      </c>
      <c r="D16" t="s">
        <v>53</v>
      </c>
      <c r="E16" t="s">
        <v>79</v>
      </c>
    </row>
    <row r="17" spans="2:5" x14ac:dyDescent="0.3">
      <c r="B17" t="s">
        <v>77</v>
      </c>
      <c r="C17" t="s">
        <v>80</v>
      </c>
      <c r="D17" t="s">
        <v>54</v>
      </c>
      <c r="E17" t="s">
        <v>79</v>
      </c>
    </row>
    <row r="18" spans="2:5" x14ac:dyDescent="0.3">
      <c r="B18" t="s">
        <v>77</v>
      </c>
      <c r="C18" t="s">
        <v>81</v>
      </c>
      <c r="D18" t="s">
        <v>55</v>
      </c>
      <c r="E18" t="s">
        <v>79</v>
      </c>
    </row>
    <row r="19" spans="2:5" x14ac:dyDescent="0.3">
      <c r="B19" t="s">
        <v>77</v>
      </c>
      <c r="C19" t="s">
        <v>82</v>
      </c>
      <c r="D19" t="s">
        <v>56</v>
      </c>
      <c r="E19" t="s">
        <v>83</v>
      </c>
    </row>
    <row r="20" spans="2:5" x14ac:dyDescent="0.3">
      <c r="B20" t="s">
        <v>77</v>
      </c>
      <c r="C20" t="s">
        <v>84</v>
      </c>
      <c r="D20" t="s">
        <v>56</v>
      </c>
      <c r="E20" t="s">
        <v>83</v>
      </c>
    </row>
    <row r="21" spans="2:5" x14ac:dyDescent="0.3">
      <c r="B21" t="s">
        <v>77</v>
      </c>
      <c r="C21" t="s">
        <v>85</v>
      </c>
      <c r="D21" t="s">
        <v>57</v>
      </c>
      <c r="E21" t="s">
        <v>83</v>
      </c>
    </row>
    <row r="22" spans="2:5" x14ac:dyDescent="0.3">
      <c r="B22" t="s">
        <v>77</v>
      </c>
      <c r="C22" t="s">
        <v>86</v>
      </c>
      <c r="D22" t="s">
        <v>57</v>
      </c>
      <c r="E22" t="s">
        <v>58</v>
      </c>
    </row>
    <row r="23" spans="2:5" x14ac:dyDescent="0.3">
      <c r="B23" t="s">
        <v>77</v>
      </c>
      <c r="C23" t="s">
        <v>87</v>
      </c>
      <c r="D23" t="s">
        <v>59</v>
      </c>
      <c r="E23" t="s">
        <v>60</v>
      </c>
    </row>
    <row r="24" spans="2:5" x14ac:dyDescent="0.3">
      <c r="B24" t="s">
        <v>77</v>
      </c>
      <c r="C24" t="s">
        <v>88</v>
      </c>
      <c r="D24" t="s">
        <v>61</v>
      </c>
      <c r="E24" t="s">
        <v>62</v>
      </c>
    </row>
    <row r="25" spans="2:5" x14ac:dyDescent="0.3">
      <c r="B25" t="s">
        <v>77</v>
      </c>
      <c r="C25" t="s">
        <v>89</v>
      </c>
      <c r="D25" t="s">
        <v>63</v>
      </c>
      <c r="E25" t="s">
        <v>64</v>
      </c>
    </row>
    <row r="26" spans="2:5" x14ac:dyDescent="0.3">
      <c r="B26" t="s">
        <v>77</v>
      </c>
      <c r="C26" t="s">
        <v>90</v>
      </c>
      <c r="D26" t="s">
        <v>65</v>
      </c>
      <c r="E26" t="s">
        <v>66</v>
      </c>
    </row>
    <row r="27" spans="2:5" x14ac:dyDescent="0.3">
      <c r="B27" t="s">
        <v>77</v>
      </c>
      <c r="C27" t="s">
        <v>91</v>
      </c>
      <c r="D27" t="s">
        <v>67</v>
      </c>
      <c r="E27" t="s">
        <v>68</v>
      </c>
    </row>
    <row r="28" spans="2:5" x14ac:dyDescent="0.3">
      <c r="B28" t="s">
        <v>77</v>
      </c>
      <c r="C28" t="s">
        <v>92</v>
      </c>
      <c r="D28" t="s">
        <v>69</v>
      </c>
      <c r="E28" t="s">
        <v>70</v>
      </c>
    </row>
    <row r="29" spans="2:5" x14ac:dyDescent="0.3">
      <c r="B29" t="s">
        <v>77</v>
      </c>
      <c r="C29" t="s">
        <v>93</v>
      </c>
      <c r="D29" t="s">
        <v>71</v>
      </c>
      <c r="E29" t="s">
        <v>72</v>
      </c>
    </row>
    <row r="30" spans="2:5" x14ac:dyDescent="0.3">
      <c r="B30" t="s">
        <v>94</v>
      </c>
      <c r="C30" t="s">
        <v>95</v>
      </c>
      <c r="D30" t="s">
        <v>73</v>
      </c>
      <c r="E30" t="s">
        <v>74</v>
      </c>
    </row>
    <row r="31" spans="2:5" x14ac:dyDescent="0.3">
      <c r="B31" t="s">
        <v>94</v>
      </c>
      <c r="C31" t="s">
        <v>96</v>
      </c>
      <c r="D31" t="s">
        <v>75</v>
      </c>
      <c r="E31" t="s">
        <v>74</v>
      </c>
    </row>
    <row r="32" spans="2:5" x14ac:dyDescent="0.3">
      <c r="B32" t="s">
        <v>94</v>
      </c>
      <c r="C32" t="s">
        <v>97</v>
      </c>
      <c r="D32" t="s">
        <v>76</v>
      </c>
      <c r="E32" t="s">
        <v>74</v>
      </c>
    </row>
  </sheetData>
  <pageMargins left="0.7" right="0.7" top="0.75" bottom="0.75" header="0.3" footer="0.3"/>
  <ignoredErrors>
    <ignoredError sqref="D10 E10:N1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E320-3E69-4B42-BB8F-70AC7DAA86E4}">
  <dimension ref="B2:X47"/>
  <sheetViews>
    <sheetView showGridLines="0" topLeftCell="B28" workbookViewId="0">
      <selection activeCell="C38" sqref="C38:G38"/>
    </sheetView>
  </sheetViews>
  <sheetFormatPr defaultRowHeight="14.4" x14ac:dyDescent="0.3"/>
  <cols>
    <col min="2" max="2" width="73.88671875" bestFit="1" customWidth="1"/>
    <col min="12" max="12" width="14.5546875" customWidth="1"/>
  </cols>
  <sheetData>
    <row r="2" spans="2:24" x14ac:dyDescent="0.3">
      <c r="B2" s="1" t="s">
        <v>108</v>
      </c>
    </row>
    <row r="3" spans="2:24" s="43" customFormat="1" ht="18" x14ac:dyDescent="0.35">
      <c r="B3" s="42" t="s">
        <v>6</v>
      </c>
    </row>
    <row r="4" spans="2:24" x14ac:dyDescent="0.3">
      <c r="C4" s="1">
        <v>2022</v>
      </c>
      <c r="D4" s="1">
        <f>C4+1</f>
        <v>2023</v>
      </c>
      <c r="E4" s="1">
        <f t="shared" ref="E4:G4" si="0">D4+1</f>
        <v>2024</v>
      </c>
      <c r="F4" s="1">
        <f t="shared" si="0"/>
        <v>2025</v>
      </c>
      <c r="G4" s="1">
        <f t="shared" si="0"/>
        <v>2026</v>
      </c>
    </row>
    <row r="5" spans="2:24" x14ac:dyDescent="0.3">
      <c r="B5" s="1"/>
      <c r="M5" s="90">
        <v>42064</v>
      </c>
      <c r="N5" s="90">
        <v>42430</v>
      </c>
      <c r="O5" s="90">
        <v>42795</v>
      </c>
      <c r="P5" s="90">
        <v>43160</v>
      </c>
      <c r="Q5" s="90">
        <v>43525</v>
      </c>
      <c r="R5" s="90">
        <v>43891</v>
      </c>
      <c r="S5" s="90">
        <v>44256</v>
      </c>
      <c r="T5" s="90">
        <v>44621</v>
      </c>
      <c r="U5" s="90">
        <v>44986</v>
      </c>
      <c r="V5" s="90">
        <v>45352</v>
      </c>
      <c r="W5" s="90">
        <v>45717</v>
      </c>
      <c r="X5" s="90">
        <v>46082</v>
      </c>
    </row>
    <row r="6" spans="2:24" x14ac:dyDescent="0.3">
      <c r="B6" t="s">
        <v>109</v>
      </c>
      <c r="C6" s="39">
        <v>6.1</v>
      </c>
      <c r="D6" s="39">
        <v>32</v>
      </c>
      <c r="E6" s="39">
        <v>0</v>
      </c>
      <c r="F6" s="39">
        <v>0</v>
      </c>
      <c r="G6" s="39">
        <v>0</v>
      </c>
      <c r="L6" t="s">
        <v>183</v>
      </c>
      <c r="M6">
        <v>69</v>
      </c>
      <c r="N6">
        <v>99</v>
      </c>
      <c r="O6">
        <v>122</v>
      </c>
      <c r="P6">
        <v>115</v>
      </c>
      <c r="Q6">
        <v>99</v>
      </c>
      <c r="R6">
        <v>89</v>
      </c>
      <c r="S6">
        <v>98</v>
      </c>
      <c r="T6">
        <v>89</v>
      </c>
      <c r="U6">
        <v>84</v>
      </c>
      <c r="V6">
        <v>99</v>
      </c>
      <c r="W6">
        <v>103</v>
      </c>
      <c r="X6">
        <v>106</v>
      </c>
    </row>
    <row r="7" spans="2:24" x14ac:dyDescent="0.3">
      <c r="B7" t="s">
        <v>110</v>
      </c>
      <c r="C7" s="39">
        <v>0.4</v>
      </c>
      <c r="D7" s="39">
        <v>0</v>
      </c>
      <c r="E7" s="39">
        <v>0</v>
      </c>
      <c r="F7" s="39">
        <v>0</v>
      </c>
      <c r="G7" s="39">
        <v>0</v>
      </c>
      <c r="L7" t="s">
        <v>184</v>
      </c>
      <c r="M7">
        <v>123</v>
      </c>
      <c r="N7">
        <v>150</v>
      </c>
      <c r="O7">
        <v>226</v>
      </c>
      <c r="P7">
        <v>263</v>
      </c>
      <c r="Q7">
        <v>235</v>
      </c>
      <c r="R7">
        <v>199</v>
      </c>
      <c r="S7">
        <v>254</v>
      </c>
      <c r="T7">
        <v>229</v>
      </c>
      <c r="U7">
        <v>193</v>
      </c>
      <c r="V7">
        <v>186</v>
      </c>
      <c r="W7">
        <v>197</v>
      </c>
      <c r="X7">
        <v>146</v>
      </c>
    </row>
    <row r="8" spans="2:24" x14ac:dyDescent="0.3">
      <c r="B8" t="s">
        <v>111</v>
      </c>
      <c r="C8" s="39">
        <v>12.3</v>
      </c>
      <c r="D8" s="39">
        <v>20.3</v>
      </c>
      <c r="E8" s="39">
        <v>12</v>
      </c>
      <c r="F8" s="39">
        <v>99</v>
      </c>
      <c r="G8" s="39">
        <v>0</v>
      </c>
      <c r="L8" t="s">
        <v>185</v>
      </c>
      <c r="M8">
        <v>56</v>
      </c>
      <c r="N8">
        <v>78</v>
      </c>
      <c r="O8">
        <v>144</v>
      </c>
      <c r="P8">
        <v>195</v>
      </c>
      <c r="Q8">
        <v>171</v>
      </c>
      <c r="R8">
        <v>124</v>
      </c>
      <c r="S8">
        <v>176</v>
      </c>
      <c r="T8">
        <v>168</v>
      </c>
      <c r="U8">
        <v>154</v>
      </c>
      <c r="V8">
        <v>176</v>
      </c>
      <c r="W8">
        <v>191</v>
      </c>
      <c r="X8">
        <v>130</v>
      </c>
    </row>
    <row r="9" spans="2:24" x14ac:dyDescent="0.3">
      <c r="B9" t="s">
        <v>112</v>
      </c>
      <c r="C9" s="39">
        <v>0.6</v>
      </c>
      <c r="D9" s="39">
        <v>16.600000000000001</v>
      </c>
      <c r="E9" s="39">
        <v>0</v>
      </c>
      <c r="F9" s="39">
        <v>0</v>
      </c>
      <c r="G9" s="39">
        <v>0</v>
      </c>
      <c r="L9" t="s">
        <v>186</v>
      </c>
      <c r="M9">
        <v>136</v>
      </c>
      <c r="N9">
        <v>171</v>
      </c>
      <c r="O9">
        <v>205</v>
      </c>
      <c r="P9">
        <v>183</v>
      </c>
      <c r="Q9">
        <v>163</v>
      </c>
      <c r="R9">
        <v>165</v>
      </c>
      <c r="S9">
        <v>177</v>
      </c>
      <c r="T9">
        <v>150</v>
      </c>
      <c r="U9">
        <v>122</v>
      </c>
      <c r="V9">
        <v>108</v>
      </c>
      <c r="W9">
        <v>109</v>
      </c>
      <c r="X9">
        <v>121</v>
      </c>
    </row>
    <row r="10" spans="2:24" x14ac:dyDescent="0.3">
      <c r="B10" t="s">
        <v>113</v>
      </c>
      <c r="C10" s="39">
        <v>0</v>
      </c>
      <c r="D10" s="39">
        <v>2.5</v>
      </c>
      <c r="E10" s="39">
        <v>0</v>
      </c>
      <c r="F10" s="39">
        <v>0</v>
      </c>
      <c r="G10" s="39">
        <v>0</v>
      </c>
      <c r="L10" t="s">
        <v>187</v>
      </c>
      <c r="M10">
        <v>-61</v>
      </c>
      <c r="N10">
        <v>-30</v>
      </c>
      <c r="O10">
        <v>-22</v>
      </c>
      <c r="P10">
        <v>-12</v>
      </c>
      <c r="Q10">
        <v>-8</v>
      </c>
      <c r="R10">
        <v>-8</v>
      </c>
      <c r="S10">
        <v>17</v>
      </c>
      <c r="T10">
        <v>39</v>
      </c>
      <c r="U10">
        <v>51</v>
      </c>
      <c r="V10">
        <v>52</v>
      </c>
      <c r="W10">
        <v>48</v>
      </c>
      <c r="X10">
        <v>101</v>
      </c>
    </row>
    <row r="11" spans="2:24" x14ac:dyDescent="0.3">
      <c r="B11" t="s">
        <v>114</v>
      </c>
      <c r="C11" s="39">
        <v>13.4</v>
      </c>
      <c r="D11" s="39">
        <v>0.4</v>
      </c>
      <c r="E11" s="39">
        <v>0</v>
      </c>
      <c r="F11" s="39">
        <v>0</v>
      </c>
      <c r="G11" s="39">
        <v>0</v>
      </c>
    </row>
    <row r="12" spans="2:24" x14ac:dyDescent="0.3">
      <c r="B12" t="s">
        <v>115</v>
      </c>
      <c r="C12" s="39">
        <v>0</v>
      </c>
      <c r="D12" s="39">
        <v>0.3</v>
      </c>
      <c r="E12" s="39">
        <v>4</v>
      </c>
      <c r="F12" s="39">
        <v>1</v>
      </c>
      <c r="G12" s="39">
        <v>0</v>
      </c>
      <c r="I12" s="6"/>
      <c r="J12" s="6"/>
    </row>
    <row r="13" spans="2:24" x14ac:dyDescent="0.3">
      <c r="B13" t="s">
        <v>116</v>
      </c>
      <c r="C13" s="39">
        <v>2.7</v>
      </c>
      <c r="D13" s="39">
        <v>1</v>
      </c>
      <c r="E13" s="39">
        <v>14</v>
      </c>
      <c r="F13" s="39">
        <v>38</v>
      </c>
      <c r="G13" s="39">
        <v>0</v>
      </c>
      <c r="H13" s="6"/>
      <c r="J13" s="6"/>
    </row>
    <row r="14" spans="2:24" x14ac:dyDescent="0.3">
      <c r="B14" s="37" t="s">
        <v>117</v>
      </c>
      <c r="C14" s="39">
        <v>0</v>
      </c>
      <c r="D14" s="39">
        <v>0</v>
      </c>
      <c r="E14" s="39">
        <v>42</v>
      </c>
      <c r="F14" s="39">
        <v>59</v>
      </c>
      <c r="G14" s="39">
        <v>0</v>
      </c>
    </row>
    <row r="15" spans="2:24" x14ac:dyDescent="0.3">
      <c r="B15" t="s">
        <v>118</v>
      </c>
      <c r="C15" s="39">
        <v>0</v>
      </c>
      <c r="D15" s="39">
        <v>0</v>
      </c>
      <c r="E15" s="39">
        <v>88</v>
      </c>
      <c r="F15" s="39">
        <v>48</v>
      </c>
      <c r="G15" s="39">
        <v>0</v>
      </c>
    </row>
    <row r="16" spans="2:24" x14ac:dyDescent="0.3">
      <c r="B16" t="s">
        <v>121</v>
      </c>
      <c r="C16" s="39">
        <v>0</v>
      </c>
      <c r="D16" s="39">
        <v>0</v>
      </c>
      <c r="E16" s="39">
        <v>0</v>
      </c>
      <c r="F16" s="39">
        <v>1</v>
      </c>
      <c r="G16" s="39">
        <v>0</v>
      </c>
    </row>
    <row r="17" spans="2:9" x14ac:dyDescent="0.3">
      <c r="B17" t="s">
        <v>119</v>
      </c>
      <c r="C17" s="39">
        <v>0</v>
      </c>
      <c r="D17" s="39">
        <v>0</v>
      </c>
      <c r="E17" s="39">
        <v>47</v>
      </c>
      <c r="F17" s="39">
        <v>74</v>
      </c>
      <c r="G17" s="39">
        <v>0</v>
      </c>
    </row>
    <row r="18" spans="2:9" x14ac:dyDescent="0.3">
      <c r="B18" t="s">
        <v>120</v>
      </c>
      <c r="C18" s="39">
        <v>0</v>
      </c>
      <c r="D18" s="39">
        <v>0</v>
      </c>
      <c r="E18" s="39">
        <v>18</v>
      </c>
      <c r="F18" s="39">
        <v>16</v>
      </c>
      <c r="G18" s="39">
        <v>0</v>
      </c>
    </row>
    <row r="19" spans="2:9" x14ac:dyDescent="0.3">
      <c r="B19" s="1" t="s">
        <v>123</v>
      </c>
      <c r="C19" s="40">
        <f>SUM(C6:C18)</f>
        <v>35.500000000000007</v>
      </c>
      <c r="D19" s="40">
        <f>SUM(D6:D18)</f>
        <v>73.100000000000009</v>
      </c>
      <c r="E19" s="40">
        <f t="shared" ref="E19:F19" si="1">SUM(E6:E18)</f>
        <v>225</v>
      </c>
      <c r="F19" s="40">
        <f t="shared" si="1"/>
        <v>336</v>
      </c>
      <c r="G19" s="38">
        <v>478</v>
      </c>
    </row>
    <row r="20" spans="2:9" x14ac:dyDescent="0.3">
      <c r="B20" t="s">
        <v>7</v>
      </c>
      <c r="C20" s="39">
        <v>-165.2</v>
      </c>
      <c r="D20" s="39">
        <v>176.4</v>
      </c>
      <c r="E20" s="39">
        <v>-17</v>
      </c>
      <c r="F20" s="39">
        <v>-65</v>
      </c>
      <c r="G20" s="39">
        <v>-91</v>
      </c>
    </row>
    <row r="21" spans="2:9" x14ac:dyDescent="0.3">
      <c r="B21" t="s">
        <v>8</v>
      </c>
      <c r="C21" s="39">
        <v>0</v>
      </c>
      <c r="D21" s="39">
        <v>0</v>
      </c>
      <c r="E21" s="39">
        <v>0</v>
      </c>
      <c r="F21" s="39">
        <v>0</v>
      </c>
      <c r="G21" s="39">
        <v>129</v>
      </c>
    </row>
    <row r="22" spans="2:9" x14ac:dyDescent="0.3">
      <c r="C22" s="6"/>
      <c r="D22" s="6"/>
      <c r="E22" s="6"/>
      <c r="F22" s="6"/>
      <c r="G22" s="6"/>
    </row>
    <row r="23" spans="2:9" x14ac:dyDescent="0.3">
      <c r="B23" s="1" t="s">
        <v>122</v>
      </c>
      <c r="C23" s="6">
        <f>C19-SUM(C7:C11)</f>
        <v>8.8000000000000043</v>
      </c>
      <c r="D23" s="6">
        <f>D19-SUM(D8:D11)</f>
        <v>33.300000000000004</v>
      </c>
      <c r="E23" s="6">
        <f>E19-E8-E12-E15</f>
        <v>121</v>
      </c>
      <c r="F23" s="6">
        <f>F19-F8-F12-F15</f>
        <v>188</v>
      </c>
      <c r="G23" s="6">
        <f>G19</f>
        <v>478</v>
      </c>
      <c r="H23" s="6"/>
      <c r="I23" s="6"/>
    </row>
    <row r="24" spans="2:9" x14ac:dyDescent="0.3">
      <c r="B24" s="1" t="s">
        <v>124</v>
      </c>
      <c r="C24" s="6">
        <f>C19-C23</f>
        <v>26.700000000000003</v>
      </c>
      <c r="D24" s="6">
        <f>D19-D23</f>
        <v>39.800000000000004</v>
      </c>
      <c r="E24" s="6">
        <f>E19-E23</f>
        <v>104</v>
      </c>
      <c r="F24" s="6">
        <f t="shared" ref="F24" si="2">F19-F23</f>
        <v>148</v>
      </c>
      <c r="G24" s="6">
        <f>G20+G21</f>
        <v>38</v>
      </c>
    </row>
    <row r="25" spans="2:9" x14ac:dyDescent="0.3">
      <c r="C25" s="6"/>
      <c r="D25" s="6"/>
      <c r="E25" s="6"/>
      <c r="F25" s="6"/>
      <c r="G25" s="6"/>
    </row>
    <row r="26" spans="2:9" x14ac:dyDescent="0.3">
      <c r="C26" s="12">
        <f>C23/C19</f>
        <v>0.24788732394366203</v>
      </c>
      <c r="D26" s="12">
        <f t="shared" ref="D26:F26" si="3">D23/D19</f>
        <v>0.45554035567715456</v>
      </c>
      <c r="E26" s="12">
        <f>E23/E19</f>
        <v>0.5377777777777778</v>
      </c>
      <c r="F26" s="12">
        <f t="shared" si="3"/>
        <v>0.55952380952380953</v>
      </c>
      <c r="G26" s="12">
        <f>G23/G19</f>
        <v>1</v>
      </c>
    </row>
    <row r="27" spans="2:9" x14ac:dyDescent="0.3">
      <c r="D27" s="7">
        <f>LN(D23/C23)</f>
        <v>1.3308056755022371</v>
      </c>
      <c r="E27" s="7">
        <f t="shared" ref="E27:G27" si="4">LN(E23/D23)</f>
        <v>1.2902331486103429</v>
      </c>
      <c r="F27" s="7">
        <f t="shared" si="4"/>
        <v>0.44065141723320805</v>
      </c>
      <c r="G27" s="7">
        <f t="shared" si="4"/>
        <v>0.93316876966150675</v>
      </c>
      <c r="H27" s="41"/>
      <c r="I27" s="41"/>
    </row>
    <row r="28" spans="2:9" x14ac:dyDescent="0.3">
      <c r="C28" s="6"/>
    </row>
    <row r="29" spans="2:9" ht="18" x14ac:dyDescent="0.35">
      <c r="B29" s="42" t="s">
        <v>126</v>
      </c>
    </row>
    <row r="30" spans="2:9" x14ac:dyDescent="0.3">
      <c r="C30" s="1">
        <v>2022</v>
      </c>
      <c r="D30" s="1">
        <f>C30+1</f>
        <v>2023</v>
      </c>
      <c r="E30" s="1">
        <f t="shared" ref="E30" si="5">D30+1</f>
        <v>2024</v>
      </c>
      <c r="F30" s="1">
        <f t="shared" ref="F30" si="6">E30+1</f>
        <v>2025</v>
      </c>
      <c r="G30" s="1">
        <f t="shared" ref="G30" si="7">F30+1</f>
        <v>2026</v>
      </c>
    </row>
    <row r="31" spans="2:9" x14ac:dyDescent="0.3">
      <c r="B31" t="s">
        <v>127</v>
      </c>
      <c r="C31" s="44">
        <v>11.9</v>
      </c>
      <c r="D31" s="44">
        <v>16</v>
      </c>
      <c r="E31" s="44">
        <v>21</v>
      </c>
      <c r="F31" s="44">
        <v>40</v>
      </c>
    </row>
    <row r="32" spans="2:9" x14ac:dyDescent="0.3">
      <c r="B32" t="s">
        <v>128</v>
      </c>
      <c r="C32" s="44">
        <v>38</v>
      </c>
      <c r="D32" s="44">
        <v>20.3</v>
      </c>
      <c r="E32" s="44"/>
      <c r="F32" s="44"/>
    </row>
    <row r="33" spans="2:9" x14ac:dyDescent="0.3">
      <c r="B33" t="s">
        <v>129</v>
      </c>
      <c r="C33" s="44">
        <v>38.1</v>
      </c>
      <c r="D33" s="44">
        <v>67.599999999999994</v>
      </c>
      <c r="E33" s="44">
        <v>55</v>
      </c>
      <c r="F33" s="44">
        <v>49</v>
      </c>
    </row>
    <row r="34" spans="2:9" x14ac:dyDescent="0.3">
      <c r="C34">
        <f>SUM(C31:C33)</f>
        <v>88</v>
      </c>
      <c r="D34">
        <f t="shared" ref="D34:F34" si="8">SUM(D31:D33)</f>
        <v>103.89999999999999</v>
      </c>
      <c r="E34">
        <f t="shared" si="8"/>
        <v>76</v>
      </c>
      <c r="F34">
        <f t="shared" si="8"/>
        <v>89</v>
      </c>
      <c r="G34" s="44">
        <v>158</v>
      </c>
    </row>
    <row r="36" spans="2:9" ht="18" x14ac:dyDescent="0.35">
      <c r="B36" s="42" t="s">
        <v>138</v>
      </c>
    </row>
    <row r="37" spans="2:9" x14ac:dyDescent="0.3">
      <c r="C37" s="1">
        <v>2022</v>
      </c>
      <c r="D37" s="1">
        <f>C37+1</f>
        <v>2023</v>
      </c>
      <c r="E37" s="1">
        <f t="shared" ref="E37" si="9">D37+1</f>
        <v>2024</v>
      </c>
      <c r="F37" s="1">
        <f t="shared" ref="F37" si="10">E37+1</f>
        <v>2025</v>
      </c>
      <c r="G37" s="1">
        <f t="shared" ref="G37" si="11">F37+1</f>
        <v>2026</v>
      </c>
    </row>
    <row r="38" spans="2:9" x14ac:dyDescent="0.3">
      <c r="B38" t="s">
        <v>139</v>
      </c>
      <c r="C38" s="44">
        <v>173.3</v>
      </c>
      <c r="D38" s="44">
        <v>133.4</v>
      </c>
      <c r="E38" s="44">
        <v>121</v>
      </c>
      <c r="F38" s="44">
        <v>114</v>
      </c>
      <c r="G38" s="49">
        <f>G44*$G$41</f>
        <v>131.81469026548672</v>
      </c>
    </row>
    <row r="39" spans="2:9" x14ac:dyDescent="0.3">
      <c r="B39" t="s">
        <v>140</v>
      </c>
      <c r="C39" s="44">
        <v>109.9</v>
      </c>
      <c r="D39" s="44">
        <v>130.1</v>
      </c>
      <c r="E39" s="44">
        <v>129</v>
      </c>
      <c r="F39" s="44">
        <v>147</v>
      </c>
      <c r="G39" s="49">
        <f>G45*$G$41</f>
        <v>134.33036202735317</v>
      </c>
    </row>
    <row r="40" spans="2:9" x14ac:dyDescent="0.3">
      <c r="B40" t="s">
        <v>141</v>
      </c>
      <c r="C40" s="44">
        <v>20.6</v>
      </c>
      <c r="D40" s="44">
        <v>19</v>
      </c>
      <c r="E40" s="44">
        <v>25</v>
      </c>
      <c r="F40" s="44">
        <v>22</v>
      </c>
      <c r="G40" s="49">
        <f>G46*$G$41</f>
        <v>21.031438062515555</v>
      </c>
    </row>
    <row r="41" spans="2:9" x14ac:dyDescent="0.3">
      <c r="B41" s="1" t="s">
        <v>146</v>
      </c>
      <c r="C41" s="1">
        <f>SUM(C38:C40)</f>
        <v>303.80000000000007</v>
      </c>
      <c r="D41" s="1">
        <f t="shared" ref="D41:F41" si="12">SUM(D38:D40)</f>
        <v>282.5</v>
      </c>
      <c r="E41" s="1">
        <f t="shared" si="12"/>
        <v>275</v>
      </c>
      <c r="F41" s="1">
        <f t="shared" si="12"/>
        <v>283</v>
      </c>
      <c r="G41" s="50">
        <v>289</v>
      </c>
    </row>
    <row r="44" spans="2:9" x14ac:dyDescent="0.3">
      <c r="B44" t="s">
        <v>143</v>
      </c>
      <c r="C44" s="7">
        <f>C38/$C$41</f>
        <v>0.57044107965766944</v>
      </c>
      <c r="D44" s="7">
        <f>D38/$D$41</f>
        <v>0.47221238938053101</v>
      </c>
      <c r="E44" s="7">
        <f>E38/$E$41</f>
        <v>0.44</v>
      </c>
      <c r="F44" s="7">
        <f>F38/$F$41</f>
        <v>0.40282685512367489</v>
      </c>
      <c r="G44" s="48">
        <f>MEDIAN(C44:F44)</f>
        <v>0.45610619469026548</v>
      </c>
      <c r="I44" s="1" t="str">
        <f ca="1">_xlfn.FORMULATEXT(G44)</f>
        <v>=MEDIAN(C44:F44)</v>
      </c>
    </row>
    <row r="45" spans="2:9" x14ac:dyDescent="0.3">
      <c r="B45" t="s">
        <v>144</v>
      </c>
      <c r="C45" s="7">
        <f t="shared" ref="C45:C46" si="13">C39/$C$41</f>
        <v>0.36175115207373265</v>
      </c>
      <c r="D45" s="7">
        <f t="shared" ref="D45:D46" si="14">D39/$D$41</f>
        <v>0.46053097345132743</v>
      </c>
      <c r="E45" s="7">
        <f t="shared" ref="E45:E46" si="15">E39/$E$41</f>
        <v>0.46909090909090911</v>
      </c>
      <c r="F45" s="7">
        <f t="shared" ref="F45:F46" si="16">F39/$F$41</f>
        <v>0.51943462897526504</v>
      </c>
      <c r="G45" s="48">
        <f>MEDIAN(C45:F45)</f>
        <v>0.46481094127111827</v>
      </c>
      <c r="I45" s="1" t="str">
        <f ca="1">_xlfn.FORMULATEXT(G45)</f>
        <v>=MEDIAN(C45:F45)</v>
      </c>
    </row>
    <row r="46" spans="2:9" x14ac:dyDescent="0.3">
      <c r="B46" t="s">
        <v>145</v>
      </c>
      <c r="C46" s="7">
        <f t="shared" si="13"/>
        <v>6.7807768268597746E-2</v>
      </c>
      <c r="D46" s="7">
        <f t="shared" si="14"/>
        <v>6.7256637168141592E-2</v>
      </c>
      <c r="E46" s="7">
        <f t="shared" si="15"/>
        <v>9.0909090909090912E-2</v>
      </c>
      <c r="F46" s="7">
        <f t="shared" si="16"/>
        <v>7.7738515901060068E-2</v>
      </c>
      <c r="G46" s="48">
        <f>MEDIAN(C46:F46)</f>
        <v>7.2773142084828907E-2</v>
      </c>
      <c r="I46" s="1" t="str">
        <f ca="1">_xlfn.FORMULATEXT(G46)</f>
        <v>=MEDIAN(C46:F46)</v>
      </c>
    </row>
    <row r="47" spans="2:9" x14ac:dyDescent="0.3">
      <c r="C47" s="4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Scenarios</vt:lpstr>
      <vt:lpstr>PPT Sheet</vt:lpstr>
      <vt:lpstr>Valuation Summary</vt:lpstr>
      <vt:lpstr>Summary</vt:lpstr>
      <vt:lpstr>DCF</vt:lpstr>
      <vt:lpstr>Ratio Analysis</vt:lpstr>
      <vt:lpstr>PL</vt:lpstr>
      <vt:lpstr>BS</vt:lpstr>
      <vt:lpstr>CS</vt:lpstr>
      <vt:lpstr>Assumptions</vt:lpstr>
      <vt:lpstr>Working Capital Schedule</vt:lpstr>
      <vt:lpstr>Working Schedules</vt:lpstr>
      <vt:lpstr>Beta Calculation</vt:lpstr>
      <vt:lpstr>Company &amp; Market Insights</vt:lpstr>
      <vt:lpstr>Notes to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khanna</dc:creator>
  <cp:lastModifiedBy>shivam khanna</cp:lastModifiedBy>
  <dcterms:created xsi:type="dcterms:W3CDTF">2026-05-16T22:30:23Z</dcterms:created>
  <dcterms:modified xsi:type="dcterms:W3CDTF">2026-06-25T08:42:06Z</dcterms:modified>
</cp:coreProperties>
</file>