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ources &amp; References" sheetId="2" state="visible" r:id="rId2"/>
    <sheet name="Assumptions" sheetId="3" state="visible" r:id="rId3"/>
    <sheet name="Revenue Buildup" sheetId="4" state="visible" r:id="rId4"/>
    <sheet name="Income Statement" sheetId="5" state="visible" r:id="rId5"/>
    <sheet name="Working Capital" sheetId="6" state="visible" r:id="rId6"/>
    <sheet name="PPE Schedule" sheetId="7" state="visible" r:id="rId7"/>
    <sheet name="Lease Schedule" sheetId="8" state="visible" r:id="rId8"/>
    <sheet name="Debt &amp; Cash" sheetId="9" state="visible" r:id="rId9"/>
    <sheet name="Balance Sheet" sheetId="10" state="visible" r:id="rId10"/>
    <sheet name="Cash Flow" sheetId="11" state="visible" r:id="rId11"/>
    <sheet name="DCF" sheetId="12" state="visible" r:id="rId12"/>
    <sheet name="Comps" sheetId="13" state="visible" r:id="rId13"/>
    <sheet name="Historical Valuation" sheetId="14" state="visible" r:id="rId14"/>
    <sheet name="Scenari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;(#,##0.0)"/>
    <numFmt numFmtId="166" formatCode="#,##0;(#,##0)"/>
    <numFmt numFmtId="167" formatCode="&quot;₹&quot;#,##0"/>
    <numFmt numFmtId="168" formatCode="0.0&quot;x&quot;"/>
  </numFmts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000000"/>
      <sz val="10"/>
    </font>
    <font>
      <color rgb="00000000"/>
      <sz val="10"/>
    </font>
    <font>
      <color rgb="000000FF"/>
      <sz val="10"/>
    </font>
    <font>
      <b val="1"/>
      <color rgb="00FFFFFF"/>
      <sz val="10"/>
    </font>
    <font>
      <b val="1"/>
      <color rgb="000000FF"/>
      <sz val="10"/>
    </font>
    <font>
      <b val="1"/>
      <color rgb="00008000"/>
      <sz val="10"/>
    </font>
    <font>
      <color rgb="00008000"/>
      <sz val="10"/>
    </font>
    <font>
      <i val="1"/>
      <color rgb="00555555"/>
      <sz val="9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0" fillId="2" borderId="0" pivotButton="0" quotePrefix="0" xfId="0"/>
    <xf numFmtId="0" fontId="6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left" wrapText="1"/>
    </xf>
    <xf numFmtId="0" fontId="0" fillId="4" borderId="0" pivotButton="0" quotePrefix="0" xfId="0"/>
    <xf numFmtId="0" fontId="4" fillId="0" borderId="1" applyAlignment="1" pivotButton="0" quotePrefix="0" xfId="0">
      <alignment horizontal="left" wrapText="1"/>
    </xf>
    <xf numFmtId="164" fontId="5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 wrapText="1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 wrapText="1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6" fontId="9" fillId="0" borderId="1" applyAlignment="1" pivotButton="0" quotePrefix="0" xfId="0">
      <alignment horizontal="right"/>
    </xf>
    <xf numFmtId="0" fontId="11" fillId="2" borderId="0" pivotButton="0" quotePrefix="0" xfId="0"/>
    <xf numFmtId="0" fontId="7" fillId="4" borderId="1" applyAlignment="1" pivotButton="0" quotePrefix="0" xfId="0">
      <alignment horizontal="left" wrapText="1"/>
    </xf>
    <xf numFmtId="167" fontId="5" fillId="0" borderId="1" applyAlignment="1" pivotButton="0" quotePrefix="0" xfId="0">
      <alignment horizontal="left" wrapText="1"/>
    </xf>
    <xf numFmtId="167" fontId="9" fillId="0" borderId="1" applyAlignment="1" pivotButton="0" quotePrefix="0" xfId="0">
      <alignment horizontal="left" wrapText="1"/>
    </xf>
    <xf numFmtId="166" fontId="9" fillId="0" borderId="1" applyAlignment="1" pivotButton="0" quotePrefix="0" xfId="0">
      <alignment horizontal="left" wrapText="1"/>
    </xf>
    <xf numFmtId="165" fontId="9" fillId="0" borderId="1" applyAlignment="1" pivotButton="0" quotePrefix="0" xfId="0">
      <alignment horizontal="left" wrapText="1"/>
    </xf>
    <xf numFmtId="166" fontId="5" fillId="0" borderId="1" applyAlignment="1" pivotButton="0" quotePrefix="0" xfId="0">
      <alignment horizontal="left" wrapText="1"/>
    </xf>
    <xf numFmtId="0" fontId="1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2" borderId="0" pivotButton="0" quotePrefix="0" xfId="0"/>
    <xf numFmtId="164" fontId="9" fillId="0" borderId="1" applyAlignment="1" pivotButton="0" quotePrefix="0" xfId="0">
      <alignment horizontal="right"/>
    </xf>
    <xf numFmtId="167" fontId="3" fillId="5" borderId="1" applyAlignment="1" pivotButton="0" quotePrefix="0" xfId="0">
      <alignment horizontal="right"/>
    </xf>
    <xf numFmtId="0" fontId="2" fillId="3" borderId="1" pivotButton="0" quotePrefix="0" xfId="0"/>
    <xf numFmtId="164" fontId="6" fillId="3" borderId="1" applyAlignment="1" pivotButton="0" quotePrefix="0" xfId="0">
      <alignment horizontal="center" wrapText="1"/>
    </xf>
    <xf numFmtId="167" fontId="4" fillId="0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  <xf numFmtId="0" fontId="6" fillId="3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left" wrapText="1"/>
    </xf>
    <xf numFmtId="166" fontId="5" fillId="5" borderId="1" applyAlignment="1" pivotButton="0" quotePrefix="0" xfId="0">
      <alignment horizontal="right"/>
    </xf>
    <xf numFmtId="166" fontId="9" fillId="5" borderId="1" applyAlignment="1" pivotButton="0" quotePrefix="0" xfId="0">
      <alignment horizontal="right"/>
    </xf>
    <xf numFmtId="168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168" fontId="4" fillId="0" borderId="1" applyAlignment="1" pivotButton="0" quotePrefix="0" xfId="0">
      <alignment horizontal="right"/>
    </xf>
    <xf numFmtId="168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7" fillId="0" borderId="1" applyAlignment="1" pivotButton="0" quotePrefix="0" xfId="0">
      <alignment horizontal="left" wrapText="1"/>
    </xf>
    <xf numFmtId="168" fontId="3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7" fontId="7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21" t="inlineStr">
        <is>
          <t>UNITED SPIRITS LIMITED (NSE: UNITDSPR) — Integrated Financial Model &amp; Initiation</t>
        </is>
      </c>
      <c r="B1" s="2" t="n"/>
      <c r="C1" s="2" t="n"/>
      <c r="D1" s="2" t="n"/>
      <c r="E1" s="2" t="n"/>
      <c r="F1" s="2" t="n"/>
    </row>
    <row r="3">
      <c r="A3" s="22" t="inlineStr">
        <is>
          <t>Rating</t>
        </is>
      </c>
      <c r="B3" s="7" t="inlineStr">
        <is>
          <t>NEUTRAL / HOLD</t>
        </is>
      </c>
    </row>
    <row r="4">
      <c r="A4" s="22" t="inlineStr">
        <is>
          <t>Current market price (10-Jun-2026)</t>
        </is>
      </c>
      <c r="B4" s="23" t="n">
        <v>1259</v>
      </c>
    </row>
    <row r="5">
      <c r="A5" s="22" t="inlineStr">
        <is>
          <t>12-month target price (base, blended)</t>
        </is>
      </c>
      <c r="B5" s="23" t="n">
        <v>1160</v>
      </c>
    </row>
    <row r="6">
      <c r="A6" s="22" t="inlineStr">
        <is>
          <t>DCF value/share (live link)</t>
        </is>
      </c>
      <c r="B6" s="24">
        <f>'DCF'!$B$28</f>
        <v/>
      </c>
    </row>
    <row r="7">
      <c r="A7" s="22" t="inlineStr">
        <is>
          <t>FY26 Net Sales Value (live link)</t>
        </is>
      </c>
      <c r="B7" s="25">
        <f>'Revenue Buildup'!F5</f>
        <v/>
      </c>
    </row>
    <row r="8">
      <c r="A8" s="22" t="inlineStr">
        <is>
          <t>FY26 core EBITDA (live link)</t>
        </is>
      </c>
      <c r="B8" s="25">
        <f>'Income Statement'!F9</f>
        <v/>
      </c>
    </row>
    <row r="9">
      <c r="A9" s="22" t="inlineStr">
        <is>
          <t>FY26 PAT reported (live link)</t>
        </is>
      </c>
      <c r="B9" s="25">
        <f>'Income Statement'!F19</f>
        <v/>
      </c>
    </row>
    <row r="10">
      <c r="A10" s="22" t="inlineStr">
        <is>
          <t>FY30E Net Sales (live link)</t>
        </is>
      </c>
      <c r="B10" s="25">
        <f>'Revenue Buildup'!J5</f>
        <v/>
      </c>
    </row>
    <row r="11">
      <c r="A11" s="22" t="inlineStr">
        <is>
          <t>FY30E EBITDA (live link)</t>
        </is>
      </c>
      <c r="B11" s="25">
        <f>'Income Statement'!J9</f>
        <v/>
      </c>
    </row>
    <row r="12">
      <c r="A12" s="22" t="inlineStr">
        <is>
          <t>Shares outstanding (cr)</t>
        </is>
      </c>
      <c r="B12" s="26">
        <f>'Assumptions'!$B$28</f>
        <v/>
      </c>
    </row>
    <row r="13">
      <c r="A13" s="22" t="inlineStr">
        <is>
          <t>Market capitalisation (₹ cr)</t>
        </is>
      </c>
      <c r="B13" s="27" t="n">
        <v>91639</v>
      </c>
    </row>
    <row r="14">
      <c r="A14" s="22" t="inlineStr">
        <is>
          <t>Parent</t>
        </is>
      </c>
      <c r="B14" s="7" t="inlineStr">
        <is>
          <t>Diageo plc (~56%)</t>
        </is>
      </c>
    </row>
    <row r="15">
      <c r="A15" s="22" t="inlineStr">
        <is>
          <t>Reporting basis</t>
        </is>
      </c>
      <c r="B15" s="7" t="inlineStr">
        <is>
          <t>Consolidated; topline = Net Sales Value (ex-excise)</t>
        </is>
      </c>
    </row>
    <row r="16">
      <c r="A16" s="22" t="inlineStr">
        <is>
          <t>Colour key</t>
        </is>
      </c>
      <c r="B16" s="7" t="inlineStr">
        <is>
          <t>Blue = input | Black = calculation | Green = cross-sheet link</t>
        </is>
      </c>
    </row>
    <row r="17">
      <c r="A17" s="22" t="inlineStr">
        <is>
          <t>Note</t>
        </is>
      </c>
      <c r="B17" s="7" t="inlineStr">
        <is>
          <t>FY26 = last actual; FY27E-FY30E forecast; RCB = discontinued/held-for-sale (optionality)</t>
        </is>
      </c>
    </row>
    <row r="19">
      <c r="A19" s="28" t="inlineStr">
        <is>
          <t>Educational model — not investment advice. All forecast figures are live Excel formulas linked across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9" t="inlineStr">
        <is>
          <t>SOURCES &amp; REFERENCES — provenance of every hard-coded (blue) figure</t>
        </is>
      </c>
      <c r="B1" s="2" t="n"/>
      <c r="C1" s="2" t="n"/>
      <c r="D1" s="2" t="n"/>
      <c r="E1" s="2" t="n"/>
    </row>
    <row r="3">
      <c r="A3" s="22" t="inlineStr">
        <is>
          <t>COLOUR KEY</t>
        </is>
      </c>
      <c r="B3" s="7" t="inlineStr">
        <is>
          <t>Blue = hard-coded input | Black = calculation (same-sheet formula) | Green = link to another sheet</t>
        </is>
      </c>
    </row>
    <row r="4">
      <c r="A4" s="22" t="inlineStr">
        <is>
          <t>FY2022 &amp; FY2023 actuals</t>
        </is>
      </c>
      <c r="B4" s="7" t="inlineStr">
        <is>
          <t>USL Annual Report 2022-23 (FY2023.pdf): Consolidated Balance Sheet (p.258-259), Statement of Profit &amp; Loss (p.260-261), Cash Flows (p.263-264). Reported in ₹ million -&gt; divided by 10 to ₹ crore.</t>
        </is>
      </c>
    </row>
    <row r="5">
      <c r="A5" s="22" t="inlineStr">
        <is>
          <t>FY2024 &amp; FY2025 actuals</t>
        </is>
      </c>
      <c r="B5" s="7" t="inlineStr">
        <is>
          <t>USL Integrated Annual Report 2024-25 (FY2025.pdf): Consolidated Balance Sheet (p.410-411), Statement of P&amp;L (p.412-413), Cash Flows (p.415-416), PPE note 3.1, ROU/Lease note 3.2, Segment note (p.460-461). ₹ crore.</t>
        </is>
      </c>
    </row>
    <row r="6">
      <c r="A6" s="22" t="inlineStr">
        <is>
          <t>FY2026 actuals</t>
        </is>
      </c>
      <c r="B6" s="7" t="inlineStr">
        <is>
          <t>USL Consolidated Financial Results for year ended 31-Mar-2026 (fy 2026.xlsx), filed 14-May-2026: P&amp;L, Balance Sheet, Cash Flow, Segment. Continuing operations (RCB = discontinued/held-for-sale). ₹ crore.</t>
        </is>
      </c>
    </row>
    <row r="7">
      <c r="A7" s="22" t="inlineStr">
        <is>
          <t>Volume / NSV-per-case / P&amp;A salience</t>
        </is>
      </c>
      <c r="B7" s="7" t="inlineStr">
        <is>
          <t>FY2025 AR Key Performance Indicators (p.22-23) and Board's Report (p.92); FY2023 AR MD&amp;A (p.34,48). Standalone NSV used as proxy for beverage-alcohol NSV (consolidation differences immaterial).</t>
        </is>
      </c>
    </row>
    <row r="8">
      <c r="A8" s="22" t="inlineStr">
        <is>
          <t>Net Sales Value (NSV)</t>
        </is>
      </c>
      <c r="B8" s="7" t="inlineStr">
        <is>
          <t>Defined as Revenue from operations minus Excise duty. Excise is a pass-through state levy (~55% of gross). Driver of the model topline.</t>
        </is>
      </c>
    </row>
    <row r="9">
      <c r="A9" s="22" t="inlineStr">
        <is>
          <t>PPE gross block / depreciation</t>
        </is>
      </c>
      <c r="B9" s="7" t="inlineStr">
        <is>
          <t>FY2025 AR note 3.1 (gross block, additions, disposals, accumulated depreciation, useful lives).</t>
        </is>
      </c>
    </row>
    <row r="10">
      <c r="A10" s="22" t="inlineStr">
        <is>
          <t>Lease (Ind AS 116)</t>
        </is>
      </c>
      <c r="B10" s="7" t="inlineStr">
        <is>
          <t>FY2025 AR note 3.2 (ROU roll-forward, lease liability current/non-current, lease cash outflows, incremental borrowing rate).</t>
        </is>
      </c>
    </row>
    <row r="11">
      <c r="A11" s="22" t="inlineStr">
        <is>
          <t>Market data (price, mkt cap, peers)</t>
        </is>
      </c>
      <c r="B11" s="7" t="inlineStr">
        <is>
          <t>Public market sources ~10-Jun-2026 (NSE/exchange data, company FY26 results). USL CMP ₹1,259; mkt cap ₹91,639 cr. Radico/ABDL/Tilaknagar/Globus FY26 net rev, EBITDA, PAT from public filings/results. Approximate; for relative context only.</t>
        </is>
      </c>
    </row>
    <row r="12">
      <c r="A12" s="22" t="inlineStr">
        <is>
          <t>Forecast assumptions</t>
        </is>
      </c>
      <c r="B12" s="7" t="inlineStr">
        <is>
          <t>Analyst estimates (see Assumptions sheet, all blue). Justified in the accompanying report (USL_Equity_Research_Report.md).</t>
        </is>
      </c>
    </row>
    <row r="13">
      <c r="A13" s="22" t="inlineStr">
        <is>
          <t>WACC / terminal growth</t>
        </is>
      </c>
      <c r="B13" s="7" t="inlineStr">
        <is>
          <t>WACC 10.25% (rf ~6.5%, ERP ~6.0%, beta ~0.65, net-cash); terminal g 6.25% (India nominal long-run consumption). Editable on Assumptions sheet.</t>
        </is>
      </c>
    </row>
    <row r="14">
      <c r="A14" s="22" t="inlineStr">
        <is>
          <t>Note on RCB</t>
        </is>
      </c>
      <c r="B14" s="7" t="inlineStr">
        <is>
          <t>Sports/RCB classified by the company as discontinued/held-for-sale in FY26; excluded from the core forecast and valued separately as optionality (₹2,500 cr, conservative placeholder).</t>
        </is>
      </c>
    </row>
    <row r="15">
      <c r="A15" s="22" t="inlineStr">
        <is>
          <t>Disclaimer</t>
        </is>
      </c>
      <c r="B15" s="7" t="inlineStr">
        <is>
          <t>Educational/analytical model. Not investment advice. Assumptions are the analyst's estimates and should be stress-tested against quarterly disclosures.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ASSUMPTIONS — drivers, anchors &amp; constants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₹ crore / % (blue = hard-coded analyst input)</t>
        </is>
      </c>
      <c r="B2" s="4" t="inlineStr">
        <is>
          <t>FY22</t>
        </is>
      </c>
      <c r="C2" s="4" t="inlineStr">
        <is>
          <t>FY23</t>
        </is>
      </c>
      <c r="D2" s="4" t="inlineStr">
        <is>
          <t>FY24</t>
        </is>
      </c>
      <c r="E2" s="4" t="inlineStr">
        <is>
          <t>FY25</t>
        </is>
      </c>
      <c r="F2" s="4" t="inlineStr">
        <is>
          <t>FY26</t>
        </is>
      </c>
      <c r="G2" s="4" t="inlineStr">
        <is>
          <t>FY27E</t>
        </is>
      </c>
      <c r="H2" s="4" t="inlineStr">
        <is>
          <t>FY28E</t>
        </is>
      </c>
      <c r="I2" s="4" t="inlineStr">
        <is>
          <t>FY29E</t>
        </is>
      </c>
      <c r="J2" s="4" t="inlineStr">
        <is>
          <t>FY30E</t>
        </is>
      </c>
    </row>
    <row r="3">
      <c r="A3" s="5" t="inlineStr">
        <is>
          <t>FORECAST DRIVERS (BASE CASE) — blue = analyst inputs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7" t="inlineStr">
        <is>
          <t>Volume growth %</t>
        </is>
      </c>
      <c r="G4" s="8" t="n">
        <v>0.045</v>
      </c>
      <c r="H4" s="8" t="n">
        <v>0.045</v>
      </c>
      <c r="I4" s="8" t="n">
        <v>0.04</v>
      </c>
      <c r="J4" s="8" t="n">
        <v>0.04</v>
      </c>
    </row>
    <row r="5">
      <c r="A5" s="7" t="inlineStr">
        <is>
          <t>Realisation (NSV/case) growth %</t>
        </is>
      </c>
      <c r="G5" s="8" t="n">
        <v>0.053</v>
      </c>
      <c r="H5" s="8" t="n">
        <v>0.053</v>
      </c>
      <c r="I5" s="8" t="n">
        <v>0.053</v>
      </c>
      <c r="J5" s="8" t="n">
        <v>0.048</v>
      </c>
    </row>
    <row r="6">
      <c r="A6" s="7" t="inlineStr">
        <is>
          <t>Core EBITDA margin (% NSV)</t>
        </is>
      </c>
      <c r="G6" s="8" t="n">
        <v>0.188</v>
      </c>
      <c r="H6" s="8" t="n">
        <v>0.194</v>
      </c>
      <c r="I6" s="8" t="n">
        <v>0.2</v>
      </c>
      <c r="J6" s="8" t="n">
        <v>0.205</v>
      </c>
    </row>
    <row r="7">
      <c r="A7" s="7" t="inlineStr">
        <is>
          <t>Gross margin (% NSV)</t>
        </is>
      </c>
      <c r="G7" s="8" t="n">
        <v>0.47</v>
      </c>
      <c r="H7" s="8" t="n">
        <v>0.474</v>
      </c>
      <c r="I7" s="8" t="n">
        <v>0.478</v>
      </c>
      <c r="J7" s="8" t="n">
        <v>0.482</v>
      </c>
    </row>
    <row r="8">
      <c r="A8" s="9" t="inlineStr">
        <is>
          <t>A&amp;P (% NSV)</t>
        </is>
      </c>
      <c r="G8" s="8" t="n">
        <v>0.103</v>
      </c>
      <c r="H8" s="8" t="n">
        <v>0.103</v>
      </c>
      <c r="I8" s="8" t="n">
        <v>0.102</v>
      </c>
      <c r="J8" s="8" t="n">
        <v>0.102</v>
      </c>
    </row>
    <row r="9">
      <c r="A9" s="7" t="inlineStr">
        <is>
          <t>Employee (% NSV)</t>
        </is>
      </c>
      <c r="G9" s="8" t="n">
        <v>0.05</v>
      </c>
      <c r="H9" s="8" t="n">
        <v>0.049</v>
      </c>
      <c r="I9" s="8" t="n">
        <v>0.048</v>
      </c>
      <c r="J9" s="8" t="n">
        <v>0.047</v>
      </c>
    </row>
    <row r="10">
      <c r="A10" s="7" t="inlineStr">
        <is>
          <t>Excise (% gross revenue)</t>
        </is>
      </c>
      <c r="G10" s="8" t="n">
        <v>0.552</v>
      </c>
      <c r="H10" s="8" t="n">
        <v>0.552</v>
      </c>
      <c r="I10" s="8" t="n">
        <v>0.551</v>
      </c>
      <c r="J10" s="8" t="n">
        <v>0.551</v>
      </c>
    </row>
    <row r="11">
      <c r="A11" s="7" t="inlineStr">
        <is>
          <t>Effective tax rate %</t>
        </is>
      </c>
      <c r="G11" s="8" t="n">
        <v>0.255</v>
      </c>
      <c r="H11" s="8" t="n">
        <v>0.255</v>
      </c>
      <c r="I11" s="8" t="n">
        <v>0.255</v>
      </c>
      <c r="J11" s="8" t="n">
        <v>0.255</v>
      </c>
    </row>
    <row r="12">
      <c r="A12" s="7" t="inlineStr">
        <is>
          <t>Dividend payout %</t>
        </is>
      </c>
      <c r="G12" s="8" t="n">
        <v>0.6</v>
      </c>
      <c r="H12" s="8" t="n">
        <v>0.6</v>
      </c>
      <c r="I12" s="8" t="n">
        <v>0.62</v>
      </c>
      <c r="J12" s="8" t="n">
        <v>0.62</v>
      </c>
    </row>
    <row r="13">
      <c r="A13" s="7" t="inlineStr">
        <is>
          <t>Treasury yield %</t>
        </is>
      </c>
      <c r="G13" s="8" t="n">
        <v>0.058</v>
      </c>
      <c r="H13" s="8" t="n">
        <v>0.059</v>
      </c>
      <c r="I13" s="8" t="n">
        <v>0.06</v>
      </c>
      <c r="J13" s="8" t="n">
        <v>0.06</v>
      </c>
    </row>
    <row r="14">
      <c r="A14" s="7" t="inlineStr">
        <is>
          <t>Capex (% NSV)</t>
        </is>
      </c>
      <c r="G14" s="8" t="n">
        <v>0.02</v>
      </c>
      <c r="H14" s="8" t="n">
        <v>0.02</v>
      </c>
      <c r="I14" s="8" t="n">
        <v>0.019</v>
      </c>
      <c r="J14" s="8" t="n">
        <v>0.019</v>
      </c>
    </row>
    <row r="15">
      <c r="A15" s="7" t="inlineStr">
        <is>
          <t>PPE depreciation rate %</t>
        </is>
      </c>
      <c r="G15" s="8" t="n">
        <v>0.115</v>
      </c>
      <c r="H15" s="8" t="n">
        <v>0.115</v>
      </c>
      <c r="I15" s="8" t="n">
        <v>0.115</v>
      </c>
      <c r="J15" s="8" t="n">
        <v>0.115</v>
      </c>
    </row>
    <row r="16">
      <c r="A16" s="7" t="inlineStr">
        <is>
          <t>New leases (% NSV)</t>
        </is>
      </c>
      <c r="G16" s="8" t="n">
        <v>0.02</v>
      </c>
      <c r="H16" s="8" t="n">
        <v>0.018</v>
      </c>
      <c r="I16" s="8" t="n">
        <v>0.018</v>
      </c>
      <c r="J16" s="8" t="n">
        <v>0.018</v>
      </c>
    </row>
    <row r="17">
      <c r="A17" s="7" t="inlineStr">
        <is>
          <t>ROU depreciation rate %</t>
        </is>
      </c>
      <c r="G17" s="8" t="n">
        <v>0.32</v>
      </c>
      <c r="H17" s="8" t="n">
        <v>0.32</v>
      </c>
      <c r="I17" s="8" t="n">
        <v>0.32</v>
      </c>
      <c r="J17" s="8" t="n">
        <v>0.32</v>
      </c>
    </row>
    <row r="18">
      <c r="A18" s="7" t="inlineStr">
        <is>
          <t>Lease interest rate %</t>
        </is>
      </c>
      <c r="G18" s="8" t="n">
        <v>0.08500000000000001</v>
      </c>
      <c r="H18" s="8" t="n">
        <v>0.08500000000000001</v>
      </c>
      <c r="I18" s="8" t="n">
        <v>0.08500000000000001</v>
      </c>
      <c r="J18" s="8" t="n">
        <v>0.08500000000000001</v>
      </c>
    </row>
    <row r="19">
      <c r="A19" s="7" t="inlineStr">
        <is>
          <t>Lease payment (% opening) %</t>
        </is>
      </c>
      <c r="G19" s="8" t="n">
        <v>0.34</v>
      </c>
      <c r="H19" s="8" t="n">
        <v>0.32</v>
      </c>
      <c r="I19" s="8" t="n">
        <v>0.32</v>
      </c>
      <c r="J19" s="8" t="n">
        <v>0.32</v>
      </c>
    </row>
    <row r="20">
      <c r="A20" s="7" t="inlineStr">
        <is>
          <t>Receivable days (gross rev)</t>
        </is>
      </c>
      <c r="G20" s="10" t="n">
        <v>47</v>
      </c>
      <c r="H20" s="10" t="n">
        <v>46.5</v>
      </c>
      <c r="I20" s="10" t="n">
        <v>46</v>
      </c>
      <c r="J20" s="10" t="n">
        <v>45.5</v>
      </c>
    </row>
    <row r="21">
      <c r="A21" s="7" t="inlineStr">
        <is>
          <t>Inventory days (COGS)</t>
        </is>
      </c>
      <c r="G21" s="10" t="n">
        <v>143</v>
      </c>
      <c r="H21" s="10" t="n">
        <v>141</v>
      </c>
      <c r="I21" s="10" t="n">
        <v>139</v>
      </c>
      <c r="J21" s="10" t="n">
        <v>137</v>
      </c>
    </row>
    <row r="22">
      <c r="A22" s="7" t="inlineStr">
        <is>
          <t>Payable days (COGS)</t>
        </is>
      </c>
      <c r="G22" s="10" t="n">
        <v>130</v>
      </c>
      <c r="H22" s="10" t="n">
        <v>130</v>
      </c>
      <c r="I22" s="10" t="n">
        <v>130</v>
      </c>
      <c r="J22" s="10" t="n">
        <v>130</v>
      </c>
    </row>
    <row r="23">
      <c r="A23" s="7" t="inlineStr">
        <is>
          <t>Non-cur receivables (% NSV)</t>
        </is>
      </c>
      <c r="G23" s="8" t="n">
        <v>0.027</v>
      </c>
      <c r="H23" s="8" t="n">
        <v>0.027</v>
      </c>
      <c r="I23" s="8" t="n">
        <v>0.026</v>
      </c>
      <c r="J23" s="8" t="n">
        <v>0.026</v>
      </c>
    </row>
    <row r="24">
      <c r="A24" s="7" t="inlineStr">
        <is>
          <t>Other current liab (% NSV)</t>
        </is>
      </c>
      <c r="G24" s="8" t="n">
        <v>0.079</v>
      </c>
      <c r="H24" s="8" t="n">
        <v>0.078</v>
      </c>
      <c r="I24" s="8" t="n">
        <v>0.078</v>
      </c>
      <c r="J24" s="8" t="n">
        <v>0.077</v>
      </c>
    </row>
    <row r="25">
      <c r="A25" s="7" t="inlineStr">
        <is>
          <t>Provisions (% NSV)</t>
        </is>
      </c>
      <c r="G25" s="8" t="n">
        <v>0.043</v>
      </c>
      <c r="H25" s="8" t="n">
        <v>0.043</v>
      </c>
      <c r="I25" s="8" t="n">
        <v>0.042</v>
      </c>
      <c r="J25" s="8" t="n">
        <v>0.042</v>
      </c>
    </row>
    <row r="26">
      <c r="A26" s="7" t="inlineStr">
        <is>
          <t>Other finance cost (₹ cr)</t>
        </is>
      </c>
      <c r="G26" s="10" t="n">
        <v>52</v>
      </c>
      <c r="H26" s="10" t="n">
        <v>55</v>
      </c>
      <c r="I26" s="10" t="n">
        <v>58</v>
      </c>
      <c r="J26" s="10" t="n">
        <v>60</v>
      </c>
    </row>
    <row r="27">
      <c r="A27" s="5" t="inlineStr">
        <is>
          <t>MODEL ANCHORS &amp; CONSTANTS  (value in column B)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7" t="inlineStr">
        <is>
          <t>Shares outstanding (cr)</t>
        </is>
      </c>
      <c r="B28" s="10" t="n">
        <v>72.78</v>
      </c>
    </row>
    <row r="29">
      <c r="A29" s="7" t="inlineStr">
        <is>
          <t>FY26 owned PPE (₹ cr)</t>
        </is>
      </c>
      <c r="B29" s="11" t="n">
        <v>900</v>
      </c>
    </row>
    <row r="30">
      <c r="A30" s="7" t="inlineStr">
        <is>
          <t>FY26 ROU asset (₹ cr)</t>
        </is>
      </c>
      <c r="B30" s="11" t="n">
        <v>315</v>
      </c>
    </row>
    <row r="31">
      <c r="A31" s="7" t="inlineStr">
        <is>
          <t>Intangible amortisation /yr</t>
        </is>
      </c>
      <c r="B31" s="11" t="n">
        <v>15</v>
      </c>
    </row>
    <row r="32">
      <c r="A32" s="7" t="inlineStr">
        <is>
          <t>Treasury other income constant</t>
        </is>
      </c>
      <c r="B32" s="11" t="n">
        <v>60</v>
      </c>
    </row>
    <row r="33">
      <c r="A33" s="7" t="inlineStr">
        <is>
          <t>Cash split of treasury</t>
        </is>
      </c>
      <c r="B33" s="11" t="n">
        <v>0.27</v>
      </c>
    </row>
    <row r="34">
      <c r="A34" s="7" t="inlineStr">
        <is>
          <t>Deposit split of treasury</t>
        </is>
      </c>
      <c r="B34" s="11" t="n">
        <v>0.36</v>
      </c>
    </row>
    <row r="35">
      <c r="A35" s="7" t="inlineStr">
        <is>
          <t>Investment split of treasury</t>
        </is>
      </c>
      <c r="B35" s="11" t="n">
        <v>0.37</v>
      </c>
    </row>
    <row r="36">
      <c r="A36" s="7" t="inlineStr">
        <is>
          <t>Tax paid under protest (held flat)</t>
        </is>
      </c>
      <c r="B36" s="11" t="n">
        <v>1191</v>
      </c>
    </row>
    <row r="37">
      <c r="A37" s="7" t="inlineStr">
        <is>
          <t>Other op. assets base (FY26)</t>
        </is>
      </c>
      <c r="B37" s="11" t="n">
        <v>667</v>
      </c>
    </row>
    <row r="38">
      <c r="A38" s="7" t="inlineStr">
        <is>
          <t>Current tax liab growth</t>
        </is>
      </c>
      <c r="B38" s="10" t="n">
        <v>1.05</v>
      </c>
    </row>
    <row r="39">
      <c r="A39" s="7" t="inlineStr">
        <is>
          <t>RCB optionality value (₹ cr)</t>
        </is>
      </c>
      <c r="B39" s="11" t="n">
        <v>2500</v>
      </c>
    </row>
    <row r="40">
      <c r="A40" s="9" t="inlineStr">
        <is>
          <t>WACC</t>
        </is>
      </c>
      <c r="B40" s="8" t="n">
        <v>0.1025</v>
      </c>
    </row>
    <row r="41">
      <c r="A41" s="7" t="inlineStr">
        <is>
          <t>Terminal growth g</t>
        </is>
      </c>
      <c r="B41" s="8" t="n">
        <v>0.0625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Revenue Buildup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2" t="inlineStr">
        <is>
          <t>₹ crore (unless stated)</t>
        </is>
      </c>
      <c r="B2" s="4" t="inlineStr">
        <is>
          <t>FY22</t>
        </is>
      </c>
      <c r="C2" s="4" t="inlineStr">
        <is>
          <t>FY23</t>
        </is>
      </c>
      <c r="D2" s="4" t="inlineStr">
        <is>
          <t>FY24</t>
        </is>
      </c>
      <c r="E2" s="4" t="inlineStr">
        <is>
          <t>FY25</t>
        </is>
      </c>
      <c r="F2" s="4" t="inlineStr">
        <is>
          <t>FY26</t>
        </is>
      </c>
      <c r="G2" s="4" t="inlineStr">
        <is>
          <t>FY27E</t>
        </is>
      </c>
      <c r="H2" s="4" t="inlineStr">
        <is>
          <t>FY28E</t>
        </is>
      </c>
      <c r="I2" s="4" t="inlineStr">
        <is>
          <t>FY29E</t>
        </is>
      </c>
      <c r="J2" s="4" t="inlineStr">
        <is>
          <t>FY30E</t>
        </is>
      </c>
    </row>
    <row r="3">
      <c r="A3" s="7" t="inlineStr">
        <is>
          <t>Volume (mn cases)</t>
        </is>
      </c>
      <c r="B3" s="10" t="n">
        <v>79.2</v>
      </c>
      <c r="C3" s="10" t="n">
        <v>72.5</v>
      </c>
      <c r="D3" s="10" t="n">
        <v>61.5</v>
      </c>
      <c r="E3" s="10" t="n">
        <v>64</v>
      </c>
      <c r="F3" s="10" t="n">
        <v>66.59999999999999</v>
      </c>
      <c r="G3" s="13">
        <f>F3*(1+'Assumptions'!G4)</f>
        <v/>
      </c>
      <c r="H3" s="13">
        <f>G3*(1+'Assumptions'!H4)</f>
        <v/>
      </c>
      <c r="I3" s="13">
        <f>H3*(1+'Assumptions'!I4)</f>
        <v/>
      </c>
      <c r="J3" s="13">
        <f>I3*(1+'Assumptions'!J4)</f>
        <v/>
      </c>
    </row>
    <row r="4">
      <c r="A4" s="7" t="inlineStr">
        <is>
          <t>NSV per case (₹) - realisation</t>
        </is>
      </c>
      <c r="B4" s="11" t="n">
        <v>1459</v>
      </c>
      <c r="C4" s="11" t="n">
        <v>1605</v>
      </c>
      <c r="D4" s="11" t="n">
        <v>1740</v>
      </c>
      <c r="E4" s="11" t="n">
        <v>1810</v>
      </c>
      <c r="F4" s="11" t="n">
        <v>1872</v>
      </c>
      <c r="G4" s="14">
        <f>F4*(1+'Assumptions'!G5)</f>
        <v/>
      </c>
      <c r="H4" s="14">
        <f>G4*(1+'Assumptions'!H5)</f>
        <v/>
      </c>
      <c r="I4" s="14">
        <f>H4*(1+'Assumptions'!I5)</f>
        <v/>
      </c>
      <c r="J4" s="14">
        <f>I4*(1+'Assumptions'!J5)</f>
        <v/>
      </c>
    </row>
    <row r="5">
      <c r="A5" s="9" t="inlineStr">
        <is>
          <t>Net Sales Value (NSV) = Vol x Realisation</t>
        </is>
      </c>
      <c r="B5" s="15" t="n">
        <v>9712.4</v>
      </c>
      <c r="C5" s="15" t="n">
        <v>10611.6</v>
      </c>
      <c r="D5" s="15" t="n">
        <v>11321</v>
      </c>
      <c r="E5" s="15" t="n">
        <v>12069</v>
      </c>
      <c r="F5" s="15" t="n">
        <v>12467</v>
      </c>
      <c r="G5" s="16">
        <f>G3*1000000*G4/10000000</f>
        <v/>
      </c>
      <c r="H5" s="16">
        <f>H3*1000000*H4/10000000</f>
        <v/>
      </c>
      <c r="I5" s="16">
        <f>I3*1000000*I4/10000000</f>
        <v/>
      </c>
      <c r="J5" s="16">
        <f>J3*1000000*J4/10000000</f>
        <v/>
      </c>
    </row>
    <row r="6">
      <c r="A6" s="7" t="inlineStr">
        <is>
          <t>Excise duty</t>
        </is>
      </c>
      <c r="B6" s="11" t="n">
        <v>21349</v>
      </c>
      <c r="C6" s="11" t="n">
        <v>17204</v>
      </c>
      <c r="D6" s="11" t="n">
        <v>14697</v>
      </c>
      <c r="E6" s="11" t="n">
        <v>15207</v>
      </c>
      <c r="F6" s="11" t="n">
        <v>15349</v>
      </c>
      <c r="G6" s="14">
        <f>G5/(1-'Assumptions'!G10)*'Assumptions'!G10</f>
        <v/>
      </c>
      <c r="H6" s="14">
        <f>H5/(1-'Assumptions'!H10)*'Assumptions'!H10</f>
        <v/>
      </c>
      <c r="I6" s="14">
        <f>I5/(1-'Assumptions'!I10)*'Assumptions'!I10</f>
        <v/>
      </c>
      <c r="J6" s="14">
        <f>J5/(1-'Assumptions'!J10)*'Assumptions'!J10</f>
        <v/>
      </c>
    </row>
    <row r="7">
      <c r="A7" s="7" t="inlineStr">
        <is>
          <t>Gross revenue (incl. excise)</t>
        </is>
      </c>
      <c r="B7" s="11" t="n">
        <v>31062</v>
      </c>
      <c r="C7" s="11" t="n">
        <v>27815</v>
      </c>
      <c r="D7" s="11" t="n">
        <v>26018</v>
      </c>
      <c r="E7" s="11" t="n">
        <v>27276</v>
      </c>
      <c r="F7" s="11" t="n">
        <v>27816</v>
      </c>
      <c r="G7" s="14">
        <f>G5+G6</f>
        <v/>
      </c>
      <c r="H7" s="14">
        <f>H5+H6</f>
        <v/>
      </c>
      <c r="I7" s="14">
        <f>I5+I6</f>
        <v/>
      </c>
      <c r="J7" s="14">
        <f>J5+J6</f>
        <v/>
      </c>
    </row>
    <row r="8">
      <c r="A8" s="7" t="inlineStr">
        <is>
          <t>P&amp;A salience (% of NSV)</t>
        </is>
      </c>
      <c r="B8" s="11" t="n">
        <v>84</v>
      </c>
      <c r="C8" s="11" t="n">
        <v>87</v>
      </c>
      <c r="D8" s="11" t="n">
        <v>87</v>
      </c>
      <c r="E8" s="11" t="n">
        <v>89</v>
      </c>
      <c r="F8" s="11" t="n">
        <v>90</v>
      </c>
      <c r="G8" s="14">
        <f>MIN(95,F8+0.8)</f>
        <v/>
      </c>
      <c r="H8" s="14">
        <f>MIN(95,G8+0.8)</f>
        <v/>
      </c>
      <c r="I8" s="14">
        <f>MIN(95,H8+0.8)</f>
        <v/>
      </c>
      <c r="J8" s="14">
        <f>MIN(95,I8+0.8)</f>
        <v/>
      </c>
    </row>
    <row r="9">
      <c r="A9" s="7" t="inlineStr">
        <is>
          <t>P&amp;A salience (% of volume)</t>
        </is>
      </c>
      <c r="B9" s="11" t="n">
        <v>54</v>
      </c>
      <c r="C9" s="11" t="n">
        <v>66</v>
      </c>
      <c r="D9" s="11" t="n">
        <v>82</v>
      </c>
      <c r="E9" s="11" t="n">
        <v>83</v>
      </c>
      <c r="F9" s="11" t="n">
        <v>84</v>
      </c>
      <c r="G9" s="14">
        <f>MIN(92,F9+1.2)</f>
        <v/>
      </c>
      <c r="H9" s="14">
        <f>MIN(92,G9+1.2)</f>
        <v/>
      </c>
      <c r="I9" s="14">
        <f>MIN(92,H9+1.2)</f>
        <v/>
      </c>
      <c r="J9" s="14">
        <f>MIN(92,I9+1.2)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Income Statement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2" t="inlineStr">
        <is>
          <t>₹ crore (unless stated)</t>
        </is>
      </c>
      <c r="B2" s="4" t="inlineStr">
        <is>
          <t>FY22</t>
        </is>
      </c>
      <c r="C2" s="4" t="inlineStr">
        <is>
          <t>FY23</t>
        </is>
      </c>
      <c r="D2" s="4" t="inlineStr">
        <is>
          <t>FY24</t>
        </is>
      </c>
      <c r="E2" s="4" t="inlineStr">
        <is>
          <t>FY25</t>
        </is>
      </c>
      <c r="F2" s="4" t="inlineStr">
        <is>
          <t>FY26</t>
        </is>
      </c>
      <c r="G2" s="4" t="inlineStr">
        <is>
          <t>FY27E</t>
        </is>
      </c>
      <c r="H2" s="4" t="inlineStr">
        <is>
          <t>FY28E</t>
        </is>
      </c>
      <c r="I2" s="4" t="inlineStr">
        <is>
          <t>FY29E</t>
        </is>
      </c>
      <c r="J2" s="4" t="inlineStr">
        <is>
          <t>FY30E</t>
        </is>
      </c>
    </row>
    <row r="3">
      <c r="A3" s="9" t="inlineStr">
        <is>
          <t>Net Sales Value (NSV)</t>
        </is>
      </c>
      <c r="B3" s="17">
        <f>'Revenue Buildup'!B5</f>
        <v/>
      </c>
      <c r="C3" s="17">
        <f>'Revenue Buildup'!C5</f>
        <v/>
      </c>
      <c r="D3" s="17">
        <f>'Revenue Buildup'!D5</f>
        <v/>
      </c>
      <c r="E3" s="17">
        <f>'Revenue Buildup'!E5</f>
        <v/>
      </c>
      <c r="F3" s="17">
        <f>'Revenue Buildup'!F5</f>
        <v/>
      </c>
      <c r="G3" s="17">
        <f>'Revenue Buildup'!G5</f>
        <v/>
      </c>
      <c r="H3" s="17">
        <f>'Revenue Buildup'!H5</f>
        <v/>
      </c>
      <c r="I3" s="17">
        <f>'Revenue Buildup'!I5</f>
        <v/>
      </c>
      <c r="J3" s="17">
        <f>'Revenue Buildup'!J5</f>
        <v/>
      </c>
    </row>
    <row r="4">
      <c r="A4" s="7" t="inlineStr">
        <is>
          <t>Cost of goods sold</t>
        </is>
      </c>
      <c r="B4" s="11" t="n">
        <v>5291.5</v>
      </c>
      <c r="C4" s="11" t="n">
        <v>6064.1</v>
      </c>
      <c r="D4" s="11" t="n">
        <v>6048</v>
      </c>
      <c r="E4" s="11" t="n">
        <v>6397</v>
      </c>
      <c r="F4" s="11" t="n">
        <v>6674</v>
      </c>
      <c r="G4" s="14">
        <f>G3-G5</f>
        <v/>
      </c>
      <c r="H4" s="14">
        <f>H3-H5</f>
        <v/>
      </c>
      <c r="I4" s="14">
        <f>I3-I5</f>
        <v/>
      </c>
      <c r="J4" s="14">
        <f>J3-J5</f>
        <v/>
      </c>
    </row>
    <row r="5">
      <c r="A5" s="9" t="inlineStr">
        <is>
          <t>Gross Profit</t>
        </is>
      </c>
      <c r="B5" s="15" t="n">
        <v>4140</v>
      </c>
      <c r="C5" s="15" t="n">
        <v>4302</v>
      </c>
      <c r="D5" s="15" t="n">
        <v>4644</v>
      </c>
      <c r="E5" s="15" t="n">
        <v>5176</v>
      </c>
      <c r="F5" s="15" t="n">
        <v>5793</v>
      </c>
      <c r="G5" s="16">
        <f>G3*'Assumptions'!G7</f>
        <v/>
      </c>
      <c r="H5" s="16">
        <f>H3*'Assumptions'!H7</f>
        <v/>
      </c>
      <c r="I5" s="16">
        <f>I3*'Assumptions'!I7</f>
        <v/>
      </c>
      <c r="J5" s="16">
        <f>J3*'Assumptions'!J7</f>
        <v/>
      </c>
    </row>
    <row r="6">
      <c r="A6" s="7" t="inlineStr">
        <is>
          <t>Employee cost</t>
        </is>
      </c>
      <c r="B6" s="11" t="n">
        <v>653.1</v>
      </c>
      <c r="C6" s="11" t="n">
        <v>610</v>
      </c>
      <c r="D6" s="11" t="n">
        <v>547</v>
      </c>
      <c r="E6" s="11" t="n">
        <v>609</v>
      </c>
      <c r="F6" s="11" t="n">
        <v>635</v>
      </c>
      <c r="G6" s="14">
        <f>G3*'Assumptions'!G9</f>
        <v/>
      </c>
      <c r="H6" s="14">
        <f>H3*'Assumptions'!H9</f>
        <v/>
      </c>
      <c r="I6" s="14">
        <f>I3*'Assumptions'!I9</f>
        <v/>
      </c>
      <c r="J6" s="14">
        <f>J3*'Assumptions'!J9</f>
        <v/>
      </c>
    </row>
    <row r="7">
      <c r="A7" s="7" t="inlineStr">
        <is>
          <t>Advertising &amp; promotion</t>
        </is>
      </c>
      <c r="B7" s="11" t="n">
        <v>694.9</v>
      </c>
      <c r="C7" s="11" t="n">
        <v>921.8</v>
      </c>
      <c r="D7" s="11" t="n">
        <v>1048</v>
      </c>
      <c r="E7" s="11" t="n">
        <v>1130</v>
      </c>
      <c r="F7" s="11" t="n">
        <v>1295</v>
      </c>
      <c r="G7" s="14">
        <f>G3*'Assumptions'!G8</f>
        <v/>
      </c>
      <c r="H7" s="14">
        <f>H3*'Assumptions'!H8</f>
        <v/>
      </c>
      <c r="I7" s="14">
        <f>I3*'Assumptions'!I8</f>
        <v/>
      </c>
      <c r="J7" s="14">
        <f>J3*'Assumptions'!J8</f>
        <v/>
      </c>
    </row>
    <row r="8">
      <c r="A8" s="7" t="inlineStr">
        <is>
          <t>Other operating expense</t>
        </is>
      </c>
      <c r="B8" s="11" t="n">
        <v>1464.8</v>
      </c>
      <c r="C8" s="11" t="n">
        <v>1598.8</v>
      </c>
      <c r="D8" s="11" t="n">
        <v>1677</v>
      </c>
      <c r="E8" s="11" t="n">
        <v>1690</v>
      </c>
      <c r="F8" s="11" t="n">
        <v>1577</v>
      </c>
      <c r="G8" s="14">
        <f>G5-G6-G7-G9</f>
        <v/>
      </c>
      <c r="H8" s="14">
        <f>H5-H6-H7-H9</f>
        <v/>
      </c>
      <c r="I8" s="14">
        <f>I5-I6-I7-I9</f>
        <v/>
      </c>
      <c r="J8" s="14">
        <f>J5-J6-J7-J9</f>
        <v/>
      </c>
    </row>
    <row r="9">
      <c r="A9" s="9" t="inlineStr">
        <is>
          <t>EBITDA (core)</t>
        </is>
      </c>
      <c r="B9" s="15" t="n">
        <v>1510</v>
      </c>
      <c r="C9" s="15" t="n">
        <v>1419</v>
      </c>
      <c r="D9" s="15" t="n">
        <v>1708</v>
      </c>
      <c r="E9" s="15" t="n">
        <v>2058</v>
      </c>
      <c r="F9" s="15" t="n">
        <v>2286</v>
      </c>
      <c r="G9" s="16">
        <f>G3*'Assumptions'!G6</f>
        <v/>
      </c>
      <c r="H9" s="16">
        <f>H3*'Assumptions'!H6</f>
        <v/>
      </c>
      <c r="I9" s="16">
        <f>I3*'Assumptions'!I6</f>
        <v/>
      </c>
      <c r="J9" s="16">
        <f>J3*'Assumptions'!J6</f>
        <v/>
      </c>
    </row>
    <row r="10">
      <c r="A10" s="7" t="inlineStr">
        <is>
          <t>Depreciation &amp; amortisation</t>
        </is>
      </c>
      <c r="B10" s="11" t="n">
        <v>303.8</v>
      </c>
      <c r="C10" s="11" t="n">
        <v>282.5</v>
      </c>
      <c r="D10" s="11" t="n">
        <v>275</v>
      </c>
      <c r="E10" s="11" t="n">
        <v>283</v>
      </c>
      <c r="F10" s="11" t="n">
        <v>289</v>
      </c>
      <c r="G10" s="14">
        <f>'PPE Schedule'!G6+'PPE Schedule'!G11+'Assumptions'!$B$31</f>
        <v/>
      </c>
      <c r="H10" s="14">
        <f>'PPE Schedule'!H6+'PPE Schedule'!H11+'Assumptions'!$B$31</f>
        <v/>
      </c>
      <c r="I10" s="14">
        <f>'PPE Schedule'!I6+'PPE Schedule'!I11+'Assumptions'!$B$31</f>
        <v/>
      </c>
      <c r="J10" s="14">
        <f>'PPE Schedule'!J6+'PPE Schedule'!J11+'Assumptions'!$B$31</f>
        <v/>
      </c>
    </row>
    <row r="11">
      <c r="A11" s="9" t="inlineStr">
        <is>
          <t>EBIT</t>
        </is>
      </c>
      <c r="B11" s="16">
        <f>B9-B10</f>
        <v/>
      </c>
      <c r="C11" s="16">
        <f>C9-C10</f>
        <v/>
      </c>
      <c r="D11" s="16">
        <f>D9-D10</f>
        <v/>
      </c>
      <c r="E11" s="16">
        <f>E9-E10</f>
        <v/>
      </c>
      <c r="F11" s="16">
        <f>F9-F10</f>
        <v/>
      </c>
      <c r="G11" s="16">
        <f>G9-G10</f>
        <v/>
      </c>
      <c r="H11" s="16">
        <f>H9-H10</f>
        <v/>
      </c>
      <c r="I11" s="16">
        <f>I9-I10</f>
        <v/>
      </c>
      <c r="J11" s="16">
        <f>J9-J10</f>
        <v/>
      </c>
    </row>
    <row r="12">
      <c r="A12" s="7" t="inlineStr">
        <is>
          <t>Other income (treasury)</t>
        </is>
      </c>
      <c r="B12" s="11" t="n">
        <v>35.5</v>
      </c>
      <c r="C12" s="11" t="n">
        <v>73.09999999999999</v>
      </c>
      <c r="D12" s="11" t="n">
        <v>225</v>
      </c>
      <c r="E12" s="11" t="n">
        <v>336</v>
      </c>
      <c r="F12" s="11" t="n">
        <v>478</v>
      </c>
      <c r="G12" s="14">
        <f>'Balance Sheet'!F18*'Assumptions'!G13+'Assumptions'!$B$32</f>
        <v/>
      </c>
      <c r="H12" s="14">
        <f>'Balance Sheet'!G18*'Assumptions'!H13+'Assumptions'!$B$32</f>
        <v/>
      </c>
      <c r="I12" s="14">
        <f>'Balance Sheet'!H18*'Assumptions'!I13+'Assumptions'!$B$32</f>
        <v/>
      </c>
      <c r="J12" s="14">
        <f>'Balance Sheet'!I18*'Assumptions'!J13+'Assumptions'!$B$32</f>
        <v/>
      </c>
    </row>
    <row r="13">
      <c r="A13" s="7" t="inlineStr">
        <is>
          <t>Finance costs</t>
        </is>
      </c>
      <c r="B13" s="11" t="n">
        <v>88</v>
      </c>
      <c r="C13" s="11" t="n">
        <v>103.9</v>
      </c>
      <c r="D13" s="11" t="n">
        <v>76</v>
      </c>
      <c r="E13" s="11" t="n">
        <v>89</v>
      </c>
      <c r="F13" s="11" t="n">
        <v>158</v>
      </c>
      <c r="G13" s="14">
        <f>'Lease Schedule'!G5+'Assumptions'!G26</f>
        <v/>
      </c>
      <c r="H13" s="14">
        <f>'Lease Schedule'!H5+'Assumptions'!H26</f>
        <v/>
      </c>
      <c r="I13" s="14">
        <f>'Lease Schedule'!I5+'Assumptions'!I26</f>
        <v/>
      </c>
      <c r="J13" s="14">
        <f>'Lease Schedule'!J5+'Assumptions'!J26</f>
        <v/>
      </c>
    </row>
    <row r="14">
      <c r="A14" s="7" t="inlineStr">
        <is>
          <t>Exceptional / JV</t>
        </is>
      </c>
      <c r="B14" s="11" t="n">
        <v>-165.2</v>
      </c>
      <c r="C14" s="11" t="n">
        <v>175</v>
      </c>
      <c r="D14" s="11" t="n">
        <v>-18</v>
      </c>
      <c r="E14" s="11" t="n">
        <v>-72</v>
      </c>
      <c r="F14" s="11" t="n">
        <v>-98</v>
      </c>
      <c r="G14" s="11" t="n">
        <v>0</v>
      </c>
      <c r="H14" s="11" t="n">
        <v>0</v>
      </c>
      <c r="I14" s="11" t="n">
        <v>0</v>
      </c>
      <c r="J14" s="11" t="n">
        <v>0</v>
      </c>
    </row>
    <row r="15">
      <c r="A15" s="9" t="inlineStr">
        <is>
          <t>Profit before tax</t>
        </is>
      </c>
      <c r="B15" s="15" t="n">
        <v>1086.6</v>
      </c>
      <c r="C15" s="15" t="n">
        <v>1278.6</v>
      </c>
      <c r="D15" s="15" t="n">
        <v>1857</v>
      </c>
      <c r="E15" s="15" t="n">
        <v>2135</v>
      </c>
      <c r="F15" s="15" t="n">
        <v>2226</v>
      </c>
      <c r="G15" s="16">
        <f>G11+G12-G13+G14</f>
        <v/>
      </c>
      <c r="H15" s="16">
        <f>H11+H12-H13+H14</f>
        <v/>
      </c>
      <c r="I15" s="16">
        <f>I11+I12-I13+I14</f>
        <v/>
      </c>
      <c r="J15" s="16">
        <f>J11+J12-J13+J14</f>
        <v/>
      </c>
    </row>
    <row r="16">
      <c r="A16" s="7" t="inlineStr">
        <is>
          <t>Tax</t>
        </is>
      </c>
      <c r="B16" s="11" t="n">
        <v>276</v>
      </c>
      <c r="C16" s="11" t="n">
        <v>152.8</v>
      </c>
      <c r="D16" s="11" t="n">
        <v>449</v>
      </c>
      <c r="E16" s="11" t="n">
        <v>553</v>
      </c>
      <c r="F16" s="11" t="n">
        <v>510</v>
      </c>
      <c r="G16" s="14">
        <f>G15*'Assumptions'!G11</f>
        <v/>
      </c>
      <c r="H16" s="14">
        <f>H15*'Assumptions'!H11</f>
        <v/>
      </c>
      <c r="I16" s="14">
        <f>I15*'Assumptions'!I11</f>
        <v/>
      </c>
      <c r="J16" s="14">
        <f>J15*'Assumptions'!J11</f>
        <v/>
      </c>
    </row>
    <row r="17">
      <c r="A17" s="7" t="inlineStr">
        <is>
          <t>PAT (continuing)</t>
        </is>
      </c>
      <c r="B17" s="11" t="n">
        <v>810.6</v>
      </c>
      <c r="C17" s="11" t="n">
        <v>1125.8</v>
      </c>
      <c r="D17" s="11" t="n">
        <v>1408</v>
      </c>
      <c r="E17" s="11" t="n">
        <v>1582</v>
      </c>
      <c r="F17" s="11" t="n">
        <v>1716</v>
      </c>
      <c r="G17" s="14">
        <f>G15-G16</f>
        <v/>
      </c>
      <c r="H17" s="14">
        <f>H15-H16</f>
        <v/>
      </c>
      <c r="I17" s="14">
        <f>I15-I16</f>
        <v/>
      </c>
      <c r="J17" s="14">
        <f>J15-J16</f>
        <v/>
      </c>
    </row>
    <row r="18">
      <c r="A18" s="7" t="inlineStr">
        <is>
          <t>Discontinued ops (RCB)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11" t="n">
        <v>129</v>
      </c>
      <c r="G18" s="11" t="n">
        <v>0</v>
      </c>
      <c r="H18" s="11" t="n">
        <v>0</v>
      </c>
      <c r="I18" s="11" t="n">
        <v>0</v>
      </c>
      <c r="J18" s="11" t="n">
        <v>0</v>
      </c>
    </row>
    <row r="19">
      <c r="A19" s="9" t="inlineStr">
        <is>
          <t>PAT (reported)</t>
        </is>
      </c>
      <c r="B19" s="15" t="n">
        <v>810.6</v>
      </c>
      <c r="C19" s="15" t="n">
        <v>1125.8</v>
      </c>
      <c r="D19" s="15" t="n">
        <v>1408</v>
      </c>
      <c r="E19" s="15" t="n">
        <v>1582</v>
      </c>
      <c r="F19" s="15" t="n">
        <v>1838</v>
      </c>
      <c r="G19" s="16">
        <f>G17+G18</f>
        <v/>
      </c>
      <c r="H19" s="16">
        <f>H17+H18</f>
        <v/>
      </c>
      <c r="I19" s="16">
        <f>I17+I18</f>
        <v/>
      </c>
      <c r="J19" s="16">
        <f>J17+J18</f>
        <v/>
      </c>
    </row>
    <row r="20">
      <c r="A20" s="9" t="inlineStr">
        <is>
          <t>EPS (₹)</t>
        </is>
      </c>
      <c r="B20" s="10" t="n">
        <v>11.68</v>
      </c>
      <c r="C20" s="10" t="n">
        <v>16.01</v>
      </c>
      <c r="D20" s="10" t="n">
        <v>19.83</v>
      </c>
      <c r="E20" s="10" t="n">
        <v>22.28</v>
      </c>
      <c r="F20" s="10" t="n">
        <v>25.89</v>
      </c>
      <c r="G20" s="13">
        <f>G19/'Assumptions'!$B$28</f>
        <v/>
      </c>
      <c r="H20" s="13">
        <f>H19/'Assumptions'!$B$28</f>
        <v/>
      </c>
      <c r="I20" s="13">
        <f>I19/'Assumptions'!$B$28</f>
        <v/>
      </c>
      <c r="J20" s="13">
        <f>J19/'Assumptions'!$B$28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Working Capital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2" t="inlineStr">
        <is>
          <t>₹ crore (unless stated)</t>
        </is>
      </c>
      <c r="B2" s="4" t="inlineStr">
        <is>
          <t>FY22</t>
        </is>
      </c>
      <c r="C2" s="4" t="inlineStr">
        <is>
          <t>FY23</t>
        </is>
      </c>
      <c r="D2" s="4" t="inlineStr">
        <is>
          <t>FY24</t>
        </is>
      </c>
      <c r="E2" s="4" t="inlineStr">
        <is>
          <t>FY25</t>
        </is>
      </c>
      <c r="F2" s="4" t="inlineStr">
        <is>
          <t>FY26</t>
        </is>
      </c>
      <c r="G2" s="4" t="inlineStr">
        <is>
          <t>FY27E</t>
        </is>
      </c>
      <c r="H2" s="4" t="inlineStr">
        <is>
          <t>FY28E</t>
        </is>
      </c>
      <c r="I2" s="4" t="inlineStr">
        <is>
          <t>FY29E</t>
        </is>
      </c>
      <c r="J2" s="4" t="inlineStr">
        <is>
          <t>FY30E</t>
        </is>
      </c>
    </row>
    <row r="3">
      <c r="A3" s="7" t="inlineStr">
        <is>
          <t>Trade receivables (current)</t>
        </is>
      </c>
      <c r="B3" s="11" t="n">
        <v>2373.6</v>
      </c>
      <c r="C3" s="11" t="n">
        <v>2434</v>
      </c>
      <c r="D3" s="11" t="n">
        <v>3056</v>
      </c>
      <c r="E3" s="11" t="n">
        <v>3410</v>
      </c>
      <c r="F3" s="11" t="n">
        <v>3609</v>
      </c>
      <c r="G3" s="14">
        <f>'Assumptions'!G20/365*'Revenue Buildup'!G7</f>
        <v/>
      </c>
      <c r="H3" s="14">
        <f>'Assumptions'!H20/365*'Revenue Buildup'!H7</f>
        <v/>
      </c>
      <c r="I3" s="14">
        <f>'Assumptions'!I20/365*'Revenue Buildup'!I7</f>
        <v/>
      </c>
      <c r="J3" s="14">
        <f>'Assumptions'!J20/365*'Revenue Buildup'!J7</f>
        <v/>
      </c>
    </row>
    <row r="4">
      <c r="A4" s="7" t="inlineStr">
        <is>
          <t>Inventories</t>
        </is>
      </c>
      <c r="B4" s="11" t="n">
        <v>2156.7</v>
      </c>
      <c r="C4" s="11" t="n">
        <v>2230</v>
      </c>
      <c r="D4" s="11" t="n">
        <v>2063</v>
      </c>
      <c r="E4" s="11" t="n">
        <v>2305</v>
      </c>
      <c r="F4" s="11" t="n">
        <v>2668</v>
      </c>
      <c r="G4" s="14">
        <f>'Assumptions'!G21/365*'Income Statement'!G4</f>
        <v/>
      </c>
      <c r="H4" s="14">
        <f>'Assumptions'!H21/365*'Income Statement'!H4</f>
        <v/>
      </c>
      <c r="I4" s="14">
        <f>'Assumptions'!I21/365*'Income Statement'!I4</f>
        <v/>
      </c>
      <c r="J4" s="14">
        <f>'Assumptions'!J21/365*'Income Statement'!J4</f>
        <v/>
      </c>
    </row>
    <row r="5">
      <c r="A5" s="7" t="inlineStr">
        <is>
          <t>Trade payables</t>
        </is>
      </c>
      <c r="B5" s="11" t="n">
        <v>1582.1</v>
      </c>
      <c r="C5" s="11" t="n">
        <v>1782.5</v>
      </c>
      <c r="D5" s="11" t="n">
        <v>1954</v>
      </c>
      <c r="E5" s="11" t="n">
        <v>2239</v>
      </c>
      <c r="F5" s="11" t="n">
        <v>2383</v>
      </c>
      <c r="G5" s="14">
        <f>'Assumptions'!G22/365*'Income Statement'!G4</f>
        <v/>
      </c>
      <c r="H5" s="14">
        <f>'Assumptions'!H22/365*'Income Statement'!H4</f>
        <v/>
      </c>
      <c r="I5" s="14">
        <f>'Assumptions'!I22/365*'Income Statement'!I4</f>
        <v/>
      </c>
      <c r="J5" s="14">
        <f>'Assumptions'!J22/365*'Income Statement'!J4</f>
        <v/>
      </c>
    </row>
    <row r="6">
      <c r="A6" s="7" t="inlineStr">
        <is>
          <t>Trade receivables (non-current)</t>
        </is>
      </c>
      <c r="B6" s="11" t="n">
        <v>148.5</v>
      </c>
      <c r="C6" s="11" t="n">
        <v>146.2</v>
      </c>
      <c r="D6" s="11" t="n">
        <v>365</v>
      </c>
      <c r="E6" s="11" t="n">
        <v>340</v>
      </c>
      <c r="F6" s="11" t="n">
        <v>351</v>
      </c>
      <c r="G6" s="14">
        <f>'Revenue Buildup'!G5*'Assumptions'!G23</f>
        <v/>
      </c>
      <c r="H6" s="14">
        <f>'Revenue Buildup'!H5*'Assumptions'!H23</f>
        <v/>
      </c>
      <c r="I6" s="14">
        <f>'Revenue Buildup'!I5*'Assumptions'!I23</f>
        <v/>
      </c>
      <c r="J6" s="14">
        <f>'Revenue Buildup'!J5*'Assumptions'!J23</f>
        <v/>
      </c>
    </row>
    <row r="7">
      <c r="A7" s="9" t="inlineStr">
        <is>
          <t>Net trade working capital</t>
        </is>
      </c>
      <c r="B7" s="16">
        <f>B4+B3-B5</f>
        <v/>
      </c>
      <c r="C7" s="16">
        <f>C4+C3-C5</f>
        <v/>
      </c>
      <c r="D7" s="16">
        <f>D4+D3-D5</f>
        <v/>
      </c>
      <c r="E7" s="16">
        <f>E4+E3-E5</f>
        <v/>
      </c>
      <c r="F7" s="16">
        <f>F4+F3-F5</f>
        <v/>
      </c>
      <c r="G7" s="16">
        <f>G4+G3-G5</f>
        <v/>
      </c>
      <c r="H7" s="16">
        <f>H4+H3-H5</f>
        <v/>
      </c>
      <c r="I7" s="16">
        <f>I4+I3-I5</f>
        <v/>
      </c>
      <c r="J7" s="16">
        <f>J4+J3-J5</f>
        <v/>
      </c>
    </row>
    <row r="8">
      <c r="A8" s="7" t="inlineStr">
        <is>
          <t>Receivable days (gross rev)</t>
        </is>
      </c>
      <c r="B8" s="13">
        <f>B3/'Revenue Buildup'!B7*365</f>
        <v/>
      </c>
      <c r="C8" s="13">
        <f>C3/'Revenue Buildup'!C7*365</f>
        <v/>
      </c>
      <c r="D8" s="13">
        <f>D3/'Revenue Buildup'!D7*365</f>
        <v/>
      </c>
      <c r="E8" s="13">
        <f>E3/'Revenue Buildup'!E7*365</f>
        <v/>
      </c>
      <c r="F8" s="13">
        <f>F3/'Revenue Buildup'!F7*365</f>
        <v/>
      </c>
      <c r="G8" s="13">
        <f>G3/'Revenue Buildup'!G7*365</f>
        <v/>
      </c>
      <c r="H8" s="13">
        <f>H3/'Revenue Buildup'!H7*365</f>
        <v/>
      </c>
      <c r="I8" s="13">
        <f>I3/'Revenue Buildup'!I7*365</f>
        <v/>
      </c>
      <c r="J8" s="13">
        <f>J3/'Revenue Buildup'!J7*365</f>
        <v/>
      </c>
    </row>
    <row r="9">
      <c r="A9" s="7" t="inlineStr">
        <is>
          <t>Inventory days (COGS)</t>
        </is>
      </c>
      <c r="B9" s="13">
        <f>B4/'Income Statement'!B4*365</f>
        <v/>
      </c>
      <c r="C9" s="13">
        <f>C4/'Income Statement'!C4*365</f>
        <v/>
      </c>
      <c r="D9" s="13">
        <f>D4/'Income Statement'!D4*365</f>
        <v/>
      </c>
      <c r="E9" s="13">
        <f>E4/'Income Statement'!E4*365</f>
        <v/>
      </c>
      <c r="F9" s="13">
        <f>F4/'Income Statement'!F4*365</f>
        <v/>
      </c>
      <c r="G9" s="13">
        <f>G4/'Income Statement'!G4*365</f>
        <v/>
      </c>
      <c r="H9" s="13">
        <f>H4/'Income Statement'!H4*365</f>
        <v/>
      </c>
      <c r="I9" s="13">
        <f>I4/'Income Statement'!I4*365</f>
        <v/>
      </c>
      <c r="J9" s="13">
        <f>J4/'Income Statement'!J4*365</f>
        <v/>
      </c>
    </row>
    <row r="10">
      <c r="A10" s="7" t="inlineStr">
        <is>
          <t>Payable days (COGS)</t>
        </is>
      </c>
      <c r="B10" s="13">
        <f>B5/'Income Statement'!B4*365</f>
        <v/>
      </c>
      <c r="C10" s="13">
        <f>C5/'Income Statement'!C4*365</f>
        <v/>
      </c>
      <c r="D10" s="13">
        <f>D5/'Income Statement'!D4*365</f>
        <v/>
      </c>
      <c r="E10" s="13">
        <f>E5/'Income Statement'!E4*365</f>
        <v/>
      </c>
      <c r="F10" s="13">
        <f>F5/'Income Statement'!F4*365</f>
        <v/>
      </c>
      <c r="G10" s="13">
        <f>G5/'Income Statement'!G4*365</f>
        <v/>
      </c>
      <c r="H10" s="13">
        <f>H5/'Income Statement'!H4*365</f>
        <v/>
      </c>
      <c r="I10" s="13">
        <f>I5/'Income Statement'!I4*365</f>
        <v/>
      </c>
      <c r="J10" s="13">
        <f>J5/'Income Statement'!J4*365</f>
        <v/>
      </c>
    </row>
    <row r="11">
      <c r="A11" s="9" t="inlineStr">
        <is>
          <t>Cash conversion cycle (days)</t>
        </is>
      </c>
      <c r="B11" s="18">
        <f>B9+B8-B10</f>
        <v/>
      </c>
      <c r="C11" s="18">
        <f>C9+C8-C10</f>
        <v/>
      </c>
      <c r="D11" s="18">
        <f>D9+D8-D10</f>
        <v/>
      </c>
      <c r="E11" s="18">
        <f>E9+E8-E10</f>
        <v/>
      </c>
      <c r="F11" s="18">
        <f>F9+F8-F10</f>
        <v/>
      </c>
      <c r="G11" s="18">
        <f>G9+G8-G10</f>
        <v/>
      </c>
      <c r="H11" s="18">
        <f>H9+H8-H10</f>
        <v/>
      </c>
      <c r="I11" s="18">
        <f>I9+I8-I10</f>
        <v/>
      </c>
      <c r="J11" s="18">
        <f>J9+J8-J10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PPE Schedule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2" t="inlineStr">
        <is>
          <t>₹ crore (unless stated)</t>
        </is>
      </c>
      <c r="B2" s="4" t="inlineStr">
        <is>
          <t>FY22</t>
        </is>
      </c>
      <c r="C2" s="4" t="inlineStr">
        <is>
          <t>FY23</t>
        </is>
      </c>
      <c r="D2" s="4" t="inlineStr">
        <is>
          <t>FY24</t>
        </is>
      </c>
      <c r="E2" s="4" t="inlineStr">
        <is>
          <t>FY25</t>
        </is>
      </c>
      <c r="F2" s="4" t="inlineStr">
        <is>
          <t>FY26</t>
        </is>
      </c>
      <c r="G2" s="4" t="inlineStr">
        <is>
          <t>FY27E</t>
        </is>
      </c>
      <c r="H2" s="4" t="inlineStr">
        <is>
          <t>FY28E</t>
        </is>
      </c>
      <c r="I2" s="4" t="inlineStr">
        <is>
          <t>FY29E</t>
        </is>
      </c>
      <c r="J2" s="4" t="inlineStr">
        <is>
          <t>FY30E</t>
        </is>
      </c>
    </row>
    <row r="3">
      <c r="A3" s="5" t="inlineStr">
        <is>
          <t>Owned PPE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7" t="inlineStr">
        <is>
          <t xml:space="preserve">  Opening (net)</t>
        </is>
      </c>
      <c r="G4" s="14">
        <f>F7</f>
        <v/>
      </c>
      <c r="H4" s="14">
        <f>G7</f>
        <v/>
      </c>
      <c r="I4" s="14">
        <f>H7</f>
        <v/>
      </c>
      <c r="J4" s="14">
        <f>I7</f>
        <v/>
      </c>
    </row>
    <row r="5">
      <c r="A5" s="7" t="inlineStr">
        <is>
          <t xml:space="preserve">  + Capex</t>
        </is>
      </c>
      <c r="B5" s="11" t="n">
        <v>134</v>
      </c>
      <c r="C5" s="11" t="n">
        <v>136.6</v>
      </c>
      <c r="D5" s="11" t="n">
        <v>98</v>
      </c>
      <c r="E5" s="11" t="n">
        <v>162</v>
      </c>
      <c r="F5" s="11" t="n">
        <v>181</v>
      </c>
      <c r="G5" s="14">
        <f>'Revenue Buildup'!G5*'Assumptions'!G14</f>
        <v/>
      </c>
      <c r="H5" s="14">
        <f>'Revenue Buildup'!H5*'Assumptions'!H14</f>
        <v/>
      </c>
      <c r="I5" s="14">
        <f>'Revenue Buildup'!I5*'Assumptions'!I14</f>
        <v/>
      </c>
      <c r="J5" s="14">
        <f>'Revenue Buildup'!J5*'Assumptions'!J14</f>
        <v/>
      </c>
    </row>
    <row r="6">
      <c r="A6" s="7" t="inlineStr">
        <is>
          <t xml:space="preserve">  - Depreciation</t>
        </is>
      </c>
      <c r="G6" s="14">
        <f>(G4+G5*0.5)*'Assumptions'!G15</f>
        <v/>
      </c>
      <c r="H6" s="14">
        <f>(H4+H5*0.5)*'Assumptions'!H15</f>
        <v/>
      </c>
      <c r="I6" s="14">
        <f>(I4+I5*0.5)*'Assumptions'!I15</f>
        <v/>
      </c>
      <c r="J6" s="14">
        <f>(J4+J5*0.5)*'Assumptions'!J15</f>
        <v/>
      </c>
    </row>
    <row r="7">
      <c r="A7" s="9" t="inlineStr">
        <is>
          <t xml:space="preserve">  Closing owned PPE (net)</t>
        </is>
      </c>
      <c r="F7" s="17">
        <f>'Assumptions'!$B$29</f>
        <v/>
      </c>
      <c r="G7" s="16">
        <f>G4+G5-G6</f>
        <v/>
      </c>
      <c r="H7" s="16">
        <f>H4+H5-H6</f>
        <v/>
      </c>
      <c r="I7" s="16">
        <f>I4+I5-I6</f>
        <v/>
      </c>
      <c r="J7" s="16">
        <f>J4+J5-J6</f>
        <v/>
      </c>
    </row>
    <row r="8">
      <c r="A8" s="5" t="inlineStr">
        <is>
          <t>Right-of-use (ROU) asset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7" t="inlineStr">
        <is>
          <t xml:space="preserve">  Opening</t>
        </is>
      </c>
      <c r="G9" s="14">
        <f>F12</f>
        <v/>
      </c>
      <c r="H9" s="14">
        <f>G12</f>
        <v/>
      </c>
      <c r="I9" s="14">
        <f>H12</f>
        <v/>
      </c>
      <c r="J9" s="14">
        <f>I12</f>
        <v/>
      </c>
    </row>
    <row r="10">
      <c r="A10" s="7" t="inlineStr">
        <is>
          <t xml:space="preserve">  + New leases</t>
        </is>
      </c>
      <c r="G10" s="14">
        <f>'Revenue Buildup'!G5*'Assumptions'!G16</f>
        <v/>
      </c>
      <c r="H10" s="14">
        <f>'Revenue Buildup'!H5*'Assumptions'!H16</f>
        <v/>
      </c>
      <c r="I10" s="14">
        <f>'Revenue Buildup'!I5*'Assumptions'!I16</f>
        <v/>
      </c>
      <c r="J10" s="14">
        <f>'Revenue Buildup'!J5*'Assumptions'!J16</f>
        <v/>
      </c>
    </row>
    <row r="11">
      <c r="A11" s="7" t="inlineStr">
        <is>
          <t xml:space="preserve">  - ROU depreciation</t>
        </is>
      </c>
      <c r="G11" s="14">
        <f>(G9+G10*0.5)*'Assumptions'!G17</f>
        <v/>
      </c>
      <c r="H11" s="14">
        <f>(H9+H10*0.5)*'Assumptions'!H17</f>
        <v/>
      </c>
      <c r="I11" s="14">
        <f>(I9+I10*0.5)*'Assumptions'!I17</f>
        <v/>
      </c>
      <c r="J11" s="14">
        <f>(J9+J10*0.5)*'Assumptions'!J17</f>
        <v/>
      </c>
    </row>
    <row r="12">
      <c r="A12" s="9" t="inlineStr">
        <is>
          <t xml:space="preserve">  Closing ROU</t>
        </is>
      </c>
      <c r="F12" s="17">
        <f>'Assumptions'!$B$30</f>
        <v/>
      </c>
      <c r="G12" s="16">
        <f>G9+G10-G11</f>
        <v/>
      </c>
      <c r="H12" s="16">
        <f>H9+H10-H11</f>
        <v/>
      </c>
      <c r="I12" s="16">
        <f>I9+I10-I11</f>
        <v/>
      </c>
      <c r="J12" s="16">
        <f>J9+J10-J11</f>
        <v/>
      </c>
    </row>
    <row r="13">
      <c r="A13" s="9" t="inlineStr">
        <is>
          <t>Reported Net PPE (owned + ROU)</t>
        </is>
      </c>
      <c r="B13" s="15" t="n">
        <v>1215.2</v>
      </c>
      <c r="C13" s="15" t="n">
        <v>978.3</v>
      </c>
      <c r="D13" s="15" t="n">
        <v>844</v>
      </c>
      <c r="E13" s="15" t="n">
        <v>850</v>
      </c>
      <c r="F13" s="16">
        <f>F7+F12</f>
        <v/>
      </c>
      <c r="G13" s="16">
        <f>G7+G12</f>
        <v/>
      </c>
      <c r="H13" s="16">
        <f>H7+H12</f>
        <v/>
      </c>
      <c r="I13" s="16">
        <f>I7+I12</f>
        <v/>
      </c>
      <c r="J13" s="16">
        <f>J7+J12</f>
        <v/>
      </c>
    </row>
    <row r="14">
      <c r="A14" s="7" t="inlineStr">
        <is>
          <t>Capital work-in-progress</t>
        </is>
      </c>
      <c r="B14" s="11" t="n">
        <v>87.7</v>
      </c>
      <c r="C14" s="11" t="n">
        <v>66.8</v>
      </c>
      <c r="D14" s="11" t="n">
        <v>37</v>
      </c>
      <c r="E14" s="11" t="n">
        <v>72</v>
      </c>
      <c r="F14" s="11" t="n">
        <v>77</v>
      </c>
      <c r="G14" s="14">
        <f>F14</f>
        <v/>
      </c>
      <c r="H14" s="14">
        <f>G14</f>
        <v/>
      </c>
      <c r="I14" s="14">
        <f>H14</f>
        <v/>
      </c>
      <c r="J14" s="14">
        <f>I14</f>
        <v/>
      </c>
    </row>
    <row r="15">
      <c r="A15" s="7" t="inlineStr">
        <is>
          <t>Capex / NSV %</t>
        </is>
      </c>
      <c r="B15" s="19">
        <f>B5/'Revenue Buildup'!B5</f>
        <v/>
      </c>
      <c r="C15" s="19">
        <f>C5/'Revenue Buildup'!C5</f>
        <v/>
      </c>
      <c r="D15" s="19">
        <f>D5/'Revenue Buildup'!D5</f>
        <v/>
      </c>
      <c r="E15" s="19">
        <f>E5/'Revenue Buildup'!E5</f>
        <v/>
      </c>
      <c r="F15" s="19">
        <f>F5/'Revenue Buildup'!F5</f>
        <v/>
      </c>
      <c r="G15" s="19">
        <f>G5/'Revenue Buildup'!G5</f>
        <v/>
      </c>
      <c r="H15" s="19">
        <f>H5/'Revenue Buildup'!H5</f>
        <v/>
      </c>
      <c r="I15" s="19">
        <f>I5/'Revenue Buildup'!I5</f>
        <v/>
      </c>
      <c r="J15" s="19">
        <f>J5/'Revenue Buildup'!J5</f>
        <v/>
      </c>
    </row>
    <row r="16">
      <c r="A16" s="7" t="inlineStr">
        <is>
          <t>Asset turnover (NSV/Net PPE)</t>
        </is>
      </c>
      <c r="B16" s="13">
        <f>'Revenue Buildup'!B5/B13</f>
        <v/>
      </c>
      <c r="C16" s="13">
        <f>'Revenue Buildup'!C5/C13</f>
        <v/>
      </c>
      <c r="D16" s="13">
        <f>'Revenue Buildup'!D5/D13</f>
        <v/>
      </c>
      <c r="E16" s="13">
        <f>'Revenue Buildup'!E5/E13</f>
        <v/>
      </c>
      <c r="F16" s="13">
        <f>'Revenue Buildup'!F5/F13</f>
        <v/>
      </c>
      <c r="G16" s="13">
        <f>'Revenue Buildup'!G5/G13</f>
        <v/>
      </c>
      <c r="H16" s="13">
        <f>'Revenue Buildup'!H5/H13</f>
        <v/>
      </c>
      <c r="I16" s="13">
        <f>'Revenue Buildup'!I5/I13</f>
        <v/>
      </c>
      <c r="J16" s="13">
        <f>'Revenue Buildup'!J5/J13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Lease Schedule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2" t="inlineStr">
        <is>
          <t>₹ crore (unless stated)</t>
        </is>
      </c>
      <c r="B2" s="4" t="inlineStr">
        <is>
          <t>FY22</t>
        </is>
      </c>
      <c r="C2" s="4" t="inlineStr">
        <is>
          <t>FY23</t>
        </is>
      </c>
      <c r="D2" s="4" t="inlineStr">
        <is>
          <t>FY24</t>
        </is>
      </c>
      <c r="E2" s="4" t="inlineStr">
        <is>
          <t>FY25</t>
        </is>
      </c>
      <c r="F2" s="4" t="inlineStr">
        <is>
          <t>FY26</t>
        </is>
      </c>
      <c r="G2" s="4" t="inlineStr">
        <is>
          <t>FY27E</t>
        </is>
      </c>
      <c r="H2" s="4" t="inlineStr">
        <is>
          <t>FY28E</t>
        </is>
      </c>
      <c r="I2" s="4" t="inlineStr">
        <is>
          <t>FY29E</t>
        </is>
      </c>
      <c r="J2" s="4" t="inlineStr">
        <is>
          <t>FY30E</t>
        </is>
      </c>
    </row>
    <row r="3">
      <c r="A3" s="7" t="inlineStr">
        <is>
          <t>Lease liability - opening</t>
        </is>
      </c>
      <c r="G3" s="14">
        <f>F7</f>
        <v/>
      </c>
      <c r="H3" s="14">
        <f>G7</f>
        <v/>
      </c>
      <c r="I3" s="14">
        <f>H7</f>
        <v/>
      </c>
      <c r="J3" s="14">
        <f>I7</f>
        <v/>
      </c>
    </row>
    <row r="4">
      <c r="A4" s="7" t="inlineStr">
        <is>
          <t xml:space="preserve">  + New leases</t>
        </is>
      </c>
      <c r="G4" s="20">
        <f>'PPE Schedule'!G10</f>
        <v/>
      </c>
      <c r="H4" s="20">
        <f>'PPE Schedule'!H10</f>
        <v/>
      </c>
      <c r="I4" s="20">
        <f>'PPE Schedule'!I10</f>
        <v/>
      </c>
      <c r="J4" s="20">
        <f>'PPE Schedule'!J10</f>
        <v/>
      </c>
    </row>
    <row r="5">
      <c r="A5" s="7" t="inlineStr">
        <is>
          <t xml:space="preserve">  + Interest accretion</t>
        </is>
      </c>
      <c r="D5" s="11" t="n">
        <v>21</v>
      </c>
      <c r="E5" s="11" t="n">
        <v>40</v>
      </c>
      <c r="G5" s="14">
        <f>G3*'Assumptions'!G18</f>
        <v/>
      </c>
      <c r="H5" s="14">
        <f>H3*'Assumptions'!H18</f>
        <v/>
      </c>
      <c r="I5" s="14">
        <f>I3*'Assumptions'!I18</f>
        <v/>
      </c>
      <c r="J5" s="14">
        <f>J3*'Assumptions'!J18</f>
        <v/>
      </c>
    </row>
    <row r="6">
      <c r="A6" s="7" t="inlineStr">
        <is>
          <t xml:space="preserve">  - Lease payments</t>
        </is>
      </c>
      <c r="D6" s="11" t="n">
        <v>-126</v>
      </c>
      <c r="E6" s="11" t="n">
        <v>-137</v>
      </c>
      <c r="G6" s="14">
        <f>-G3*'Assumptions'!G19</f>
        <v/>
      </c>
      <c r="H6" s="14">
        <f>-H3*'Assumptions'!H19</f>
        <v/>
      </c>
      <c r="I6" s="14">
        <f>-I3*'Assumptions'!I19</f>
        <v/>
      </c>
      <c r="J6" s="14">
        <f>-J3*'Assumptions'!J19</f>
        <v/>
      </c>
    </row>
    <row r="7">
      <c r="A7" s="9" t="inlineStr">
        <is>
          <t>Lease liability - closing</t>
        </is>
      </c>
      <c r="B7" s="15" t="n">
        <v>263.7</v>
      </c>
      <c r="C7" s="15" t="n">
        <v>182.2</v>
      </c>
      <c r="D7" s="15" t="n">
        <v>240</v>
      </c>
      <c r="E7" s="15" t="n">
        <v>480</v>
      </c>
      <c r="F7" s="15" t="n">
        <v>407</v>
      </c>
      <c r="G7" s="16">
        <f>G3+G4+G5+G6</f>
        <v/>
      </c>
      <c r="H7" s="16">
        <f>H3+H4+H5+H6</f>
        <v/>
      </c>
      <c r="I7" s="16">
        <f>I3+I4+I5+I6</f>
        <v/>
      </c>
      <c r="J7" s="16">
        <f>J3+J4+J5+J6</f>
        <v/>
      </c>
    </row>
    <row r="8">
      <c r="A8" s="7" t="inlineStr">
        <is>
          <t>ROU asset (memo)</t>
        </is>
      </c>
      <c r="B8" s="11" t="n">
        <v>260.6</v>
      </c>
      <c r="C8" s="11" t="n">
        <v>172.6</v>
      </c>
      <c r="D8" s="11" t="n">
        <v>227</v>
      </c>
      <c r="E8" s="11" t="n">
        <v>457</v>
      </c>
      <c r="F8" s="11" t="n">
        <v>0</v>
      </c>
      <c r="G8" s="20">
        <f>'PPE Schedule'!G12</f>
        <v/>
      </c>
      <c r="H8" s="20">
        <f>'PPE Schedule'!H12</f>
        <v/>
      </c>
      <c r="I8" s="20">
        <f>'PPE Schedule'!I12</f>
        <v/>
      </c>
      <c r="J8" s="20">
        <f>'PPE Schedule'!J12</f>
        <v/>
      </c>
    </row>
    <row r="9">
      <c r="A9" s="7" t="inlineStr">
        <is>
          <t>Lease interest in P&amp;L</t>
        </is>
      </c>
      <c r="G9" s="14">
        <f>G5</f>
        <v/>
      </c>
      <c r="H9" s="14">
        <f>H5</f>
        <v/>
      </c>
      <c r="I9" s="14">
        <f>I5</f>
        <v/>
      </c>
      <c r="J9" s="14">
        <f>J5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Debt &amp; Cash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2" t="inlineStr">
        <is>
          <t>₹ crore (unless stated)</t>
        </is>
      </c>
      <c r="B2" s="4" t="inlineStr">
        <is>
          <t>FY22</t>
        </is>
      </c>
      <c r="C2" s="4" t="inlineStr">
        <is>
          <t>FY23</t>
        </is>
      </c>
      <c r="D2" s="4" t="inlineStr">
        <is>
          <t>FY24</t>
        </is>
      </c>
      <c r="E2" s="4" t="inlineStr">
        <is>
          <t>FY25</t>
        </is>
      </c>
      <c r="F2" s="4" t="inlineStr">
        <is>
          <t>FY26</t>
        </is>
      </c>
      <c r="G2" s="4" t="inlineStr">
        <is>
          <t>FY27E</t>
        </is>
      </c>
      <c r="H2" s="4" t="inlineStr">
        <is>
          <t>FY28E</t>
        </is>
      </c>
      <c r="I2" s="4" t="inlineStr">
        <is>
          <t>FY29E</t>
        </is>
      </c>
      <c r="J2" s="4" t="inlineStr">
        <is>
          <t>FY30E</t>
        </is>
      </c>
    </row>
    <row r="3">
      <c r="A3" s="7" t="inlineStr">
        <is>
          <t>Borrowings (gross debt)</t>
        </is>
      </c>
      <c r="B3" s="11" t="n">
        <v>341.7</v>
      </c>
      <c r="C3" s="11" t="n">
        <v>1.1</v>
      </c>
      <c r="D3" s="11" t="n">
        <v>25</v>
      </c>
      <c r="E3" s="11" t="n">
        <v>0</v>
      </c>
      <c r="F3" s="11" t="n">
        <v>6</v>
      </c>
      <c r="G3" s="11" t="n">
        <v>6</v>
      </c>
      <c r="H3" s="11" t="n">
        <v>6</v>
      </c>
      <c r="I3" s="11" t="n">
        <v>6</v>
      </c>
      <c r="J3" s="11" t="n">
        <v>6</v>
      </c>
    </row>
    <row r="4">
      <c r="A4" s="7" t="inlineStr">
        <is>
          <t>Lease liabilities</t>
        </is>
      </c>
      <c r="B4" s="20">
        <f>'Lease Schedule'!B7</f>
        <v/>
      </c>
      <c r="C4" s="20">
        <f>'Lease Schedule'!C7</f>
        <v/>
      </c>
      <c r="D4" s="20">
        <f>'Lease Schedule'!D7</f>
        <v/>
      </c>
      <c r="E4" s="20">
        <f>'Lease Schedule'!E7</f>
        <v/>
      </c>
      <c r="F4" s="20">
        <f>'Lease Schedule'!F7</f>
        <v/>
      </c>
      <c r="G4" s="20">
        <f>'Lease Schedule'!G7</f>
        <v/>
      </c>
      <c r="H4" s="20">
        <f>'Lease Schedule'!H7</f>
        <v/>
      </c>
      <c r="I4" s="20">
        <f>'Lease Schedule'!I7</f>
        <v/>
      </c>
      <c r="J4" s="20">
        <f>'Lease Schedule'!J7</f>
        <v/>
      </c>
    </row>
    <row r="5">
      <c r="A5" s="9" t="inlineStr">
        <is>
          <t>Total debt (incl leases)</t>
        </is>
      </c>
      <c r="B5" s="16">
        <f>B3+B4</f>
        <v/>
      </c>
      <c r="C5" s="16">
        <f>C3+C4</f>
        <v/>
      </c>
      <c r="D5" s="16">
        <f>D3+D4</f>
        <v/>
      </c>
      <c r="E5" s="16">
        <f>E3+E4</f>
        <v/>
      </c>
      <c r="F5" s="16">
        <f>F3+F4</f>
        <v/>
      </c>
      <c r="G5" s="16">
        <f>G3+G4</f>
        <v/>
      </c>
      <c r="H5" s="16">
        <f>H3+H4</f>
        <v/>
      </c>
      <c r="I5" s="16">
        <f>I3+I4</f>
        <v/>
      </c>
      <c r="J5" s="16">
        <f>J3+J4</f>
        <v/>
      </c>
    </row>
    <row r="6">
      <c r="A6" s="7" t="inlineStr">
        <is>
          <t>Cash &amp; equivalents</t>
        </is>
      </c>
      <c r="B6" s="11" t="n">
        <v>54.5</v>
      </c>
      <c r="C6" s="11" t="n">
        <v>115.1</v>
      </c>
      <c r="D6" s="11" t="n">
        <v>1052</v>
      </c>
      <c r="E6" s="11" t="n">
        <v>1328</v>
      </c>
      <c r="F6" s="11" t="n">
        <v>859</v>
      </c>
      <c r="G6" s="14">
        <f>G9*'Assumptions'!$B$33</f>
        <v/>
      </c>
      <c r="H6" s="14">
        <f>H9*'Assumptions'!$B$33</f>
        <v/>
      </c>
      <c r="I6" s="14">
        <f>I9*'Assumptions'!$B$33</f>
        <v/>
      </c>
      <c r="J6" s="14">
        <f>J9*'Assumptions'!$B$33</f>
        <v/>
      </c>
    </row>
    <row r="7">
      <c r="A7" s="7" t="inlineStr">
        <is>
          <t>Bank deposits</t>
        </is>
      </c>
      <c r="B7" s="11" t="n">
        <v>5.8</v>
      </c>
      <c r="C7" s="11" t="n">
        <v>768.2</v>
      </c>
      <c r="D7" s="11" t="n">
        <v>217</v>
      </c>
      <c r="E7" s="11" t="n">
        <v>702</v>
      </c>
      <c r="F7" s="11" t="n">
        <v>1118</v>
      </c>
      <c r="G7" s="14">
        <f>G9*'Assumptions'!$B$34</f>
        <v/>
      </c>
      <c r="H7" s="14">
        <f>H9*'Assumptions'!$B$34</f>
        <v/>
      </c>
      <c r="I7" s="14">
        <f>I9*'Assumptions'!$B$34</f>
        <v/>
      </c>
      <c r="J7" s="14">
        <f>J9*'Assumptions'!$B$34</f>
        <v/>
      </c>
    </row>
    <row r="8">
      <c r="A8" s="7" t="inlineStr">
        <is>
          <t>Current investments</t>
        </is>
      </c>
      <c r="B8" s="11" t="n">
        <v>222.1</v>
      </c>
      <c r="C8" s="11" t="n">
        <v>255.8</v>
      </c>
      <c r="D8" s="11" t="n">
        <v>599</v>
      </c>
      <c r="E8" s="11" t="n">
        <v>873</v>
      </c>
      <c r="F8" s="11" t="n">
        <v>1157</v>
      </c>
      <c r="G8" s="14">
        <f>G9*'Assumptions'!$B$35</f>
        <v/>
      </c>
      <c r="H8" s="14">
        <f>H9*'Assumptions'!$B$35</f>
        <v/>
      </c>
      <c r="I8" s="14">
        <f>I9*'Assumptions'!$B$35</f>
        <v/>
      </c>
      <c r="J8" s="14">
        <f>J9*'Assumptions'!$B$35</f>
        <v/>
      </c>
    </row>
    <row r="9">
      <c r="A9" s="9" t="inlineStr">
        <is>
          <t>Total cash &amp; treasury</t>
        </is>
      </c>
      <c r="B9" s="17">
        <f>'Balance Sheet'!B18</f>
        <v/>
      </c>
      <c r="C9" s="17">
        <f>'Balance Sheet'!C18</f>
        <v/>
      </c>
      <c r="D9" s="17">
        <f>'Balance Sheet'!D18</f>
        <v/>
      </c>
      <c r="E9" s="17">
        <f>'Balance Sheet'!E18</f>
        <v/>
      </c>
      <c r="F9" s="17">
        <f>'Balance Sheet'!F18</f>
        <v/>
      </c>
      <c r="G9" s="17">
        <f>'Balance Sheet'!G18</f>
        <v/>
      </c>
      <c r="H9" s="17">
        <f>'Balance Sheet'!H18</f>
        <v/>
      </c>
      <c r="I9" s="17">
        <f>'Balance Sheet'!I18</f>
        <v/>
      </c>
      <c r="J9" s="17">
        <f>'Balance Sheet'!J18</f>
        <v/>
      </c>
    </row>
    <row r="10">
      <c r="A10" s="9" t="inlineStr">
        <is>
          <t>Net debt / (net cash)</t>
        </is>
      </c>
      <c r="B10" s="16">
        <f>B5-B9</f>
        <v/>
      </c>
      <c r="C10" s="16">
        <f>C5-C9</f>
        <v/>
      </c>
      <c r="D10" s="16">
        <f>D5-D9</f>
        <v/>
      </c>
      <c r="E10" s="16">
        <f>E5-E9</f>
        <v/>
      </c>
      <c r="F10" s="16">
        <f>F5-F9</f>
        <v/>
      </c>
      <c r="G10" s="16">
        <f>G5-G9</f>
        <v/>
      </c>
      <c r="H10" s="16">
        <f>H5-H9</f>
        <v/>
      </c>
      <c r="I10" s="16">
        <f>I5-I9</f>
        <v/>
      </c>
      <c r="J10" s="16">
        <f>J5-J9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Balance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2" t="inlineStr">
        <is>
          <t>₹ crore (unless stated)</t>
        </is>
      </c>
      <c r="B2" s="4" t="inlineStr">
        <is>
          <t>FY22</t>
        </is>
      </c>
      <c r="C2" s="4" t="inlineStr">
        <is>
          <t>FY23</t>
        </is>
      </c>
      <c r="D2" s="4" t="inlineStr">
        <is>
          <t>FY24</t>
        </is>
      </c>
      <c r="E2" s="4" t="inlineStr">
        <is>
          <t>FY25</t>
        </is>
      </c>
      <c r="F2" s="4" t="inlineStr">
        <is>
          <t>FY26</t>
        </is>
      </c>
      <c r="G2" s="4" t="inlineStr">
        <is>
          <t>FY27E</t>
        </is>
      </c>
      <c r="H2" s="4" t="inlineStr">
        <is>
          <t>FY28E</t>
        </is>
      </c>
      <c r="I2" s="4" t="inlineStr">
        <is>
          <t>FY29E</t>
        </is>
      </c>
      <c r="J2" s="4" t="inlineStr">
        <is>
          <t>FY30E</t>
        </is>
      </c>
    </row>
    <row r="3">
      <c r="A3" s="5" t="inlineStr">
        <is>
          <t>ASSETS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7" t="inlineStr">
        <is>
          <t>Net PPE (incl ROU)</t>
        </is>
      </c>
      <c r="B4" s="20">
        <f>'PPE Schedule'!B13</f>
        <v/>
      </c>
      <c r="C4" s="20">
        <f>'PPE Schedule'!C13</f>
        <v/>
      </c>
      <c r="D4" s="20">
        <f>'PPE Schedule'!D13</f>
        <v/>
      </c>
      <c r="E4" s="20">
        <f>'PPE Schedule'!E13</f>
        <v/>
      </c>
      <c r="F4" s="20">
        <f>'PPE Schedule'!F13</f>
        <v/>
      </c>
      <c r="G4" s="20">
        <f>'PPE Schedule'!G13</f>
        <v/>
      </c>
      <c r="H4" s="20">
        <f>'PPE Schedule'!H13</f>
        <v/>
      </c>
      <c r="I4" s="20">
        <f>'PPE Schedule'!I13</f>
        <v/>
      </c>
      <c r="J4" s="20">
        <f>'PPE Schedule'!J13</f>
        <v/>
      </c>
    </row>
    <row r="5">
      <c r="A5" s="7" t="inlineStr">
        <is>
          <t>Capital work-in-progress</t>
        </is>
      </c>
      <c r="B5" s="20">
        <f>'PPE Schedule'!B14</f>
        <v/>
      </c>
      <c r="C5" s="20">
        <f>'PPE Schedule'!C14</f>
        <v/>
      </c>
      <c r="D5" s="20">
        <f>'PPE Schedule'!D14</f>
        <v/>
      </c>
      <c r="E5" s="20">
        <f>'PPE Schedule'!E14</f>
        <v/>
      </c>
      <c r="F5" s="20">
        <f>'PPE Schedule'!F14</f>
        <v/>
      </c>
      <c r="G5" s="20">
        <f>'PPE Schedule'!G14</f>
        <v/>
      </c>
      <c r="H5" s="20">
        <f>'PPE Schedule'!H14</f>
        <v/>
      </c>
      <c r="I5" s="20">
        <f>'PPE Schedule'!I14</f>
        <v/>
      </c>
      <c r="J5" s="20">
        <f>'PPE Schedule'!J14</f>
        <v/>
      </c>
    </row>
    <row r="6">
      <c r="A6" s="7" t="inlineStr">
        <is>
          <t>Goodwill</t>
        </is>
      </c>
      <c r="B6" s="11" t="n">
        <v>21</v>
      </c>
      <c r="C6" s="11" t="n">
        <v>1.3</v>
      </c>
      <c r="D6" s="11" t="n">
        <v>1</v>
      </c>
      <c r="E6" s="11" t="n">
        <v>1</v>
      </c>
      <c r="F6" s="11" t="n">
        <v>55</v>
      </c>
      <c r="G6" s="14">
        <f>F6</f>
        <v/>
      </c>
      <c r="H6" s="14">
        <f>G6</f>
        <v/>
      </c>
      <c r="I6" s="14">
        <f>H6</f>
        <v/>
      </c>
      <c r="J6" s="14">
        <f>I6</f>
        <v/>
      </c>
    </row>
    <row r="7">
      <c r="A7" s="7" t="inlineStr">
        <is>
          <t>Other intangible assets</t>
        </is>
      </c>
      <c r="B7" s="11" t="n">
        <v>358</v>
      </c>
      <c r="C7" s="11" t="n">
        <v>372.7</v>
      </c>
      <c r="D7" s="11" t="n">
        <v>349</v>
      </c>
      <c r="E7" s="11" t="n">
        <v>329</v>
      </c>
      <c r="F7" s="11" t="n">
        <v>76</v>
      </c>
      <c r="G7" s="14">
        <f>F7-'Assumptions'!$B$31</f>
        <v/>
      </c>
      <c r="H7" s="14">
        <f>G7-'Assumptions'!$B$31</f>
        <v/>
      </c>
      <c r="I7" s="14">
        <f>H7-'Assumptions'!$B$31</f>
        <v/>
      </c>
      <c r="J7" s="14">
        <f>I7-'Assumptions'!$B$31</f>
        <v/>
      </c>
    </row>
    <row r="8">
      <c r="A8" s="7" t="inlineStr">
        <is>
          <t>Investment property</t>
        </is>
      </c>
      <c r="B8" s="11" t="n">
        <v>0</v>
      </c>
      <c r="C8" s="11" t="n">
        <v>25.3</v>
      </c>
      <c r="D8" s="11" t="n">
        <v>139</v>
      </c>
      <c r="E8" s="11" t="n">
        <v>75</v>
      </c>
      <c r="F8" s="11" t="n">
        <v>58</v>
      </c>
      <c r="G8" s="14">
        <f>F8</f>
        <v/>
      </c>
      <c r="H8" s="14">
        <f>G8</f>
        <v/>
      </c>
      <c r="I8" s="14">
        <f>H8</f>
        <v/>
      </c>
      <c r="J8" s="14">
        <f>I8</f>
        <v/>
      </c>
    </row>
    <row r="9">
      <c r="A9" s="7" t="inlineStr">
        <is>
          <t>Investment in JVs</t>
        </is>
      </c>
      <c r="B9" s="11" t="n">
        <v>0</v>
      </c>
      <c r="C9" s="11" t="n">
        <v>10.1</v>
      </c>
      <c r="D9" s="11" t="n">
        <v>46</v>
      </c>
      <c r="E9" s="11" t="n">
        <v>50</v>
      </c>
      <c r="F9" s="11" t="n">
        <v>14</v>
      </c>
      <c r="G9" s="14">
        <f>F9</f>
        <v/>
      </c>
      <c r="H9" s="14">
        <f>G9</f>
        <v/>
      </c>
      <c r="I9" s="14">
        <f>H9</f>
        <v/>
      </c>
      <c r="J9" s="14">
        <f>I9</f>
        <v/>
      </c>
    </row>
    <row r="10">
      <c r="A10" s="7" t="inlineStr">
        <is>
          <t>Inventories</t>
        </is>
      </c>
      <c r="B10" s="20">
        <f>'Working Capital'!B4</f>
        <v/>
      </c>
      <c r="C10" s="20">
        <f>'Working Capital'!C4</f>
        <v/>
      </c>
      <c r="D10" s="20">
        <f>'Working Capital'!D4</f>
        <v/>
      </c>
      <c r="E10" s="20">
        <f>'Working Capital'!E4</f>
        <v/>
      </c>
      <c r="F10" s="20">
        <f>'Working Capital'!F4</f>
        <v/>
      </c>
      <c r="G10" s="20">
        <f>'Working Capital'!G4</f>
        <v/>
      </c>
      <c r="H10" s="20">
        <f>'Working Capital'!H4</f>
        <v/>
      </c>
      <c r="I10" s="20">
        <f>'Working Capital'!I4</f>
        <v/>
      </c>
      <c r="J10" s="20">
        <f>'Working Capital'!J4</f>
        <v/>
      </c>
    </row>
    <row r="11">
      <c r="A11" s="7" t="inlineStr">
        <is>
          <t>Trade receivables (current)</t>
        </is>
      </c>
      <c r="B11" s="20">
        <f>'Working Capital'!B3</f>
        <v/>
      </c>
      <c r="C11" s="20">
        <f>'Working Capital'!C3</f>
        <v/>
      </c>
      <c r="D11" s="20">
        <f>'Working Capital'!D3</f>
        <v/>
      </c>
      <c r="E11" s="20">
        <f>'Working Capital'!E3</f>
        <v/>
      </c>
      <c r="F11" s="20">
        <f>'Working Capital'!F3</f>
        <v/>
      </c>
      <c r="G11" s="20">
        <f>'Working Capital'!G3</f>
        <v/>
      </c>
      <c r="H11" s="20">
        <f>'Working Capital'!H3</f>
        <v/>
      </c>
      <c r="I11" s="20">
        <f>'Working Capital'!I3</f>
        <v/>
      </c>
      <c r="J11" s="20">
        <f>'Working Capital'!J3</f>
        <v/>
      </c>
    </row>
    <row r="12">
      <c r="A12" s="7" t="inlineStr">
        <is>
          <t>Trade receivables (non-current)</t>
        </is>
      </c>
      <c r="B12" s="20">
        <f>'Working Capital'!B6</f>
        <v/>
      </c>
      <c r="C12" s="20">
        <f>'Working Capital'!C6</f>
        <v/>
      </c>
      <c r="D12" s="20">
        <f>'Working Capital'!D6</f>
        <v/>
      </c>
      <c r="E12" s="20">
        <f>'Working Capital'!E6</f>
        <v/>
      </c>
      <c r="F12" s="20">
        <f>'Working Capital'!F6</f>
        <v/>
      </c>
      <c r="G12" s="20">
        <f>'Working Capital'!G6</f>
        <v/>
      </c>
      <c r="H12" s="20">
        <f>'Working Capital'!H6</f>
        <v/>
      </c>
      <c r="I12" s="20">
        <f>'Working Capital'!I6</f>
        <v/>
      </c>
      <c r="J12" s="20">
        <f>'Working Capital'!J6</f>
        <v/>
      </c>
    </row>
    <row r="13">
      <c r="A13" s="7" t="inlineStr">
        <is>
          <t>Other financial assets</t>
        </is>
      </c>
      <c r="B13" s="11" t="n">
        <v>225.7</v>
      </c>
      <c r="C13" s="11" t="n">
        <v>279.6</v>
      </c>
      <c r="D13" s="11" t="n">
        <v>148</v>
      </c>
      <c r="E13" s="11" t="n">
        <v>640</v>
      </c>
      <c r="F13" s="11" t="n">
        <v>368</v>
      </c>
      <c r="G13" s="14">
        <f>F13</f>
        <v/>
      </c>
      <c r="H13" s="14">
        <f>G13</f>
        <v/>
      </c>
      <c r="I13" s="14">
        <f>H13</f>
        <v/>
      </c>
      <c r="J13" s="14">
        <f>I13</f>
        <v/>
      </c>
    </row>
    <row r="14">
      <c r="A14" s="7" t="inlineStr">
        <is>
          <t>Deferred tax assets</t>
        </is>
      </c>
      <c r="B14" s="11" t="n">
        <v>147.8</v>
      </c>
      <c r="C14" s="11" t="n">
        <v>157.3</v>
      </c>
      <c r="D14" s="11" t="n">
        <v>177</v>
      </c>
      <c r="E14" s="11" t="n">
        <v>155</v>
      </c>
      <c r="F14" s="11" t="n">
        <v>284</v>
      </c>
      <c r="G14" s="14">
        <f>F14</f>
        <v/>
      </c>
      <c r="H14" s="14">
        <f>G14</f>
        <v/>
      </c>
      <c r="I14" s="14">
        <f>H14</f>
        <v/>
      </c>
      <c r="J14" s="14">
        <f>I14</f>
        <v/>
      </c>
    </row>
    <row r="15">
      <c r="A15" s="7" t="inlineStr">
        <is>
          <t>Current tax assets</t>
        </is>
      </c>
      <c r="B15" s="11" t="n">
        <v>1261.4</v>
      </c>
      <c r="C15" s="11" t="n">
        <v>1335.6</v>
      </c>
      <c r="D15" s="11" t="n">
        <v>1358</v>
      </c>
      <c r="E15" s="11" t="n">
        <v>1115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</row>
    <row r="16">
      <c r="A16" s="7" t="inlineStr">
        <is>
          <t>Other assets (incl tax under protest)</t>
        </is>
      </c>
      <c r="B16" s="11" t="n">
        <v>501.9</v>
      </c>
      <c r="C16" s="11" t="n">
        <v>519.9</v>
      </c>
      <c r="D16" s="11" t="n">
        <v>561</v>
      </c>
      <c r="E16" s="11" t="n">
        <v>524</v>
      </c>
      <c r="F16" s="11" t="n">
        <v>1858</v>
      </c>
      <c r="G16" s="14">
        <f>'Assumptions'!$B$36+'Assumptions'!$B$37*'Revenue Buildup'!G5/'Revenue Buildup'!F5</f>
        <v/>
      </c>
      <c r="H16" s="14">
        <f>'Assumptions'!$B$36+'Assumptions'!$B$37*'Revenue Buildup'!H5/'Revenue Buildup'!F5</f>
        <v/>
      </c>
      <c r="I16" s="14">
        <f>'Assumptions'!$B$36+'Assumptions'!$B$37*'Revenue Buildup'!I5/'Revenue Buildup'!F5</f>
        <v/>
      </c>
      <c r="J16" s="14">
        <f>'Assumptions'!$B$36+'Assumptions'!$B$37*'Revenue Buildup'!J5/'Revenue Buildup'!F5</f>
        <v/>
      </c>
    </row>
    <row r="17">
      <c r="A17" s="7" t="inlineStr">
        <is>
          <t>Assets held for sale (RCB)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701</v>
      </c>
      <c r="G17" s="11" t="n">
        <v>0</v>
      </c>
      <c r="H17" s="11" t="n">
        <v>0</v>
      </c>
      <c r="I17" s="11" t="n">
        <v>0</v>
      </c>
      <c r="J17" s="11" t="n">
        <v>0</v>
      </c>
    </row>
    <row r="18">
      <c r="A18" s="9" t="inlineStr">
        <is>
          <t>Cash + deposits + investments (treasury, PLUG)</t>
        </is>
      </c>
      <c r="B18" s="16">
        <f>B34-B19</f>
        <v/>
      </c>
      <c r="C18" s="16">
        <f>C34-C19</f>
        <v/>
      </c>
      <c r="D18" s="16">
        <f>D34-D19</f>
        <v/>
      </c>
      <c r="E18" s="16">
        <f>E34-E19</f>
        <v/>
      </c>
      <c r="F18" s="16">
        <f>F34-F19</f>
        <v/>
      </c>
      <c r="G18" s="16">
        <f>G34-G19</f>
        <v/>
      </c>
      <c r="H18" s="16">
        <f>H34-H19</f>
        <v/>
      </c>
      <c r="I18" s="16">
        <f>I34-I19</f>
        <v/>
      </c>
      <c r="J18" s="16">
        <f>J34-J19</f>
        <v/>
      </c>
    </row>
    <row r="19">
      <c r="A19" s="7" t="inlineStr">
        <is>
          <t xml:space="preserve">  Non-cash assets subtotal</t>
        </is>
      </c>
      <c r="B19" s="14">
        <f>B4+B5+B6+B7+B8+B9+B10+B11+B12+B13+B14+B15+B16+B17</f>
        <v/>
      </c>
      <c r="C19" s="14">
        <f>C4+C5+C6+C7+C8+C9+C10+C11+C12+C13+C14+C15+C16+C17</f>
        <v/>
      </c>
      <c r="D19" s="14">
        <f>D4+D5+D6+D7+D8+D9+D10+D11+D12+D13+D14+D15+D16+D17</f>
        <v/>
      </c>
      <c r="E19" s="14">
        <f>E4+E5+E6+E7+E8+E9+E10+E11+E12+E13+E14+E15+E16+E17</f>
        <v/>
      </c>
      <c r="F19" s="14">
        <f>F4+F5+F6+F7+F8+F9+F10+F11+F12+F13+F14+F15+F16+F17</f>
        <v/>
      </c>
      <c r="G19" s="14">
        <f>G4+G5+G6+G7+G8+G9+G10+G11+G12+G13+G14+G15+G16+G17</f>
        <v/>
      </c>
      <c r="H19" s="14">
        <f>H4+H5+H6+H7+H8+H9+H10+H11+H12+H13+H14+H15+H16+H17</f>
        <v/>
      </c>
      <c r="I19" s="14">
        <f>I4+I5+I6+I7+I8+I9+I10+I11+I12+I13+I14+I15+I16+I17</f>
        <v/>
      </c>
      <c r="J19" s="14">
        <f>J4+J5+J6+J7+J8+J9+J10+J11+J12+J13+J14+J15+J16+J17</f>
        <v/>
      </c>
    </row>
    <row r="20">
      <c r="A20" s="9" t="inlineStr">
        <is>
          <t>TOTAL ASSETS</t>
        </is>
      </c>
      <c r="B20" s="16">
        <f>B19+B18</f>
        <v/>
      </c>
      <c r="C20" s="16">
        <f>C19+C18</f>
        <v/>
      </c>
      <c r="D20" s="16">
        <f>D19+D18</f>
        <v/>
      </c>
      <c r="E20" s="16">
        <f>E19+E18</f>
        <v/>
      </c>
      <c r="F20" s="16">
        <f>F19+F18</f>
        <v/>
      </c>
      <c r="G20" s="16">
        <f>G19+G18</f>
        <v/>
      </c>
      <c r="H20" s="16">
        <f>H19+H18</f>
        <v/>
      </c>
      <c r="I20" s="16">
        <f>I19+I18</f>
        <v/>
      </c>
      <c r="J20" s="16">
        <f>J19+J18</f>
        <v/>
      </c>
    </row>
    <row r="21">
      <c r="A21" s="5" t="inlineStr">
        <is>
          <t>EQUITY &amp; LIABILITIES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9" t="inlineStr">
        <is>
          <t>Total equity</t>
        </is>
      </c>
      <c r="B22" s="15" t="n">
        <v>4874.8</v>
      </c>
      <c r="C22" s="15" t="n">
        <v>5999.5</v>
      </c>
      <c r="D22" s="15" t="n">
        <v>7121</v>
      </c>
      <c r="E22" s="15" t="n">
        <v>8104</v>
      </c>
      <c r="F22" s="15" t="n">
        <v>8957</v>
      </c>
      <c r="G22" s="16">
        <f>F22+'Income Statement'!G19-G23</f>
        <v/>
      </c>
      <c r="H22" s="16">
        <f>G22+'Income Statement'!H19-H23</f>
        <v/>
      </c>
      <c r="I22" s="16">
        <f>H22+'Income Statement'!I19-I23</f>
        <v/>
      </c>
      <c r="J22" s="16">
        <f>I22+'Income Statement'!J19-J23</f>
        <v/>
      </c>
    </row>
    <row r="23">
      <c r="A23" s="7" t="inlineStr">
        <is>
          <t xml:space="preserve">  Memo: dividend paid</t>
        </is>
      </c>
      <c r="G23" s="14">
        <f>'Income Statement'!G19*'Assumptions'!G12</f>
        <v/>
      </c>
      <c r="H23" s="14">
        <f>'Income Statement'!H19*'Assumptions'!H12</f>
        <v/>
      </c>
      <c r="I23" s="14">
        <f>'Income Statement'!I19*'Assumptions'!I12</f>
        <v/>
      </c>
      <c r="J23" s="14">
        <f>'Income Statement'!J19*'Assumptions'!J12</f>
        <v/>
      </c>
    </row>
    <row r="24">
      <c r="A24" s="7" t="inlineStr">
        <is>
          <t>Borrowings</t>
        </is>
      </c>
      <c r="B24" s="20">
        <f>'Debt &amp; Cash'!B3</f>
        <v/>
      </c>
      <c r="C24" s="20">
        <f>'Debt &amp; Cash'!C3</f>
        <v/>
      </c>
      <c r="D24" s="20">
        <f>'Debt &amp; Cash'!D3</f>
        <v/>
      </c>
      <c r="E24" s="20">
        <f>'Debt &amp; Cash'!E3</f>
        <v/>
      </c>
      <c r="F24" s="20">
        <f>'Debt &amp; Cash'!F3</f>
        <v/>
      </c>
      <c r="G24" s="20">
        <f>'Debt &amp; Cash'!G3</f>
        <v/>
      </c>
      <c r="H24" s="20">
        <f>'Debt &amp; Cash'!H3</f>
        <v/>
      </c>
      <c r="I24" s="20">
        <f>'Debt &amp; Cash'!I3</f>
        <v/>
      </c>
      <c r="J24" s="20">
        <f>'Debt &amp; Cash'!J3</f>
        <v/>
      </c>
    </row>
    <row r="25">
      <c r="A25" s="7" t="inlineStr">
        <is>
          <t>Lease liabilities</t>
        </is>
      </c>
      <c r="B25" s="20">
        <f>'Lease Schedule'!B7</f>
        <v/>
      </c>
      <c r="C25" s="20">
        <f>'Lease Schedule'!C7</f>
        <v/>
      </c>
      <c r="D25" s="20">
        <f>'Lease Schedule'!D7</f>
        <v/>
      </c>
      <c r="E25" s="20">
        <f>'Lease Schedule'!E7</f>
        <v/>
      </c>
      <c r="F25" s="20">
        <f>'Lease Schedule'!F7</f>
        <v/>
      </c>
      <c r="G25" s="20">
        <f>'Lease Schedule'!G7</f>
        <v/>
      </c>
      <c r="H25" s="20">
        <f>'Lease Schedule'!H7</f>
        <v/>
      </c>
      <c r="I25" s="20">
        <f>'Lease Schedule'!I7</f>
        <v/>
      </c>
      <c r="J25" s="20">
        <f>'Lease Schedule'!J7</f>
        <v/>
      </c>
    </row>
    <row r="26">
      <c r="A26" s="7" t="inlineStr">
        <is>
          <t>Trade payables</t>
        </is>
      </c>
      <c r="B26" s="20">
        <f>'Working Capital'!B5</f>
        <v/>
      </c>
      <c r="C26" s="20">
        <f>'Working Capital'!C5</f>
        <v/>
      </c>
      <c r="D26" s="20">
        <f>'Working Capital'!D5</f>
        <v/>
      </c>
      <c r="E26" s="20">
        <f>'Working Capital'!E5</f>
        <v/>
      </c>
      <c r="F26" s="20">
        <f>'Working Capital'!F5</f>
        <v/>
      </c>
      <c r="G26" s="20">
        <f>'Working Capital'!G5</f>
        <v/>
      </c>
      <c r="H26" s="20">
        <f>'Working Capital'!H5</f>
        <v/>
      </c>
      <c r="I26" s="20">
        <f>'Working Capital'!I5</f>
        <v/>
      </c>
      <c r="J26" s="20">
        <f>'Working Capital'!J5</f>
        <v/>
      </c>
    </row>
    <row r="27">
      <c r="A27" s="7" t="inlineStr">
        <is>
          <t>Deferred tax liabilities</t>
        </is>
      </c>
      <c r="B27" s="11" t="n">
        <v>48.3</v>
      </c>
      <c r="C27" s="11" t="n">
        <v>45.1</v>
      </c>
      <c r="D27" s="11" t="n">
        <v>73</v>
      </c>
      <c r="E27" s="11" t="n">
        <v>72</v>
      </c>
      <c r="F27" s="11" t="n">
        <v>18</v>
      </c>
      <c r="G27" s="14">
        <f>F27</f>
        <v/>
      </c>
      <c r="H27" s="14">
        <f>G27</f>
        <v/>
      </c>
      <c r="I27" s="14">
        <f>H27</f>
        <v/>
      </c>
      <c r="J27" s="14">
        <f>I27</f>
        <v/>
      </c>
    </row>
    <row r="28">
      <c r="A28" s="7" t="inlineStr">
        <is>
          <t>Provisions</t>
        </is>
      </c>
      <c r="B28" s="11" t="n">
        <v>502.9</v>
      </c>
      <c r="C28" s="11" t="n">
        <v>385.4</v>
      </c>
      <c r="D28" s="11" t="n">
        <v>383</v>
      </c>
      <c r="E28" s="11" t="n">
        <v>391</v>
      </c>
      <c r="F28" s="11" t="n">
        <v>541</v>
      </c>
      <c r="G28" s="14">
        <f>'Revenue Buildup'!G5*'Assumptions'!G25</f>
        <v/>
      </c>
      <c r="H28" s="14">
        <f>'Revenue Buildup'!H5*'Assumptions'!H25</f>
        <v/>
      </c>
      <c r="I28" s="14">
        <f>'Revenue Buildup'!I5*'Assumptions'!I25</f>
        <v/>
      </c>
      <c r="J28" s="14">
        <f>'Revenue Buildup'!J5*'Assumptions'!J25</f>
        <v/>
      </c>
    </row>
    <row r="29">
      <c r="A29" s="7" t="inlineStr">
        <is>
          <t>Current tax liabilities</t>
        </is>
      </c>
      <c r="B29" s="11" t="n">
        <v>276.5</v>
      </c>
      <c r="C29" s="11" t="n">
        <v>282.9</v>
      </c>
      <c r="D29" s="11" t="n">
        <v>332</v>
      </c>
      <c r="E29" s="11" t="n">
        <v>380</v>
      </c>
      <c r="F29" s="11" t="n">
        <v>571</v>
      </c>
      <c r="G29" s="14">
        <f>F29*'Assumptions'!$B$38</f>
        <v/>
      </c>
      <c r="H29" s="14">
        <f>G29*'Assumptions'!$B$38</f>
        <v/>
      </c>
      <c r="I29" s="14">
        <f>H29*'Assumptions'!$B$38</f>
        <v/>
      </c>
      <c r="J29" s="14">
        <f>I29*'Assumptions'!$B$38</f>
        <v/>
      </c>
    </row>
    <row r="30">
      <c r="A30" s="7" t="inlineStr">
        <is>
          <t>Other financial liabilities</t>
        </is>
      </c>
      <c r="B30" s="11" t="n">
        <v>182.3</v>
      </c>
      <c r="C30" s="11" t="n">
        <v>284.6</v>
      </c>
      <c r="D30" s="11" t="n">
        <v>276</v>
      </c>
      <c r="E30" s="11" t="n">
        <v>477</v>
      </c>
      <c r="F30" s="11" t="n">
        <v>273</v>
      </c>
      <c r="G30" s="14">
        <f>F30</f>
        <v/>
      </c>
      <c r="H30" s="14">
        <f>G30</f>
        <v/>
      </c>
      <c r="I30" s="14">
        <f>H30</f>
        <v/>
      </c>
      <c r="J30" s="14">
        <f>I30</f>
        <v/>
      </c>
    </row>
    <row r="31">
      <c r="A31" s="7" t="inlineStr">
        <is>
          <t>Other current liabilities</t>
        </is>
      </c>
      <c r="B31" s="11" t="n">
        <v>839</v>
      </c>
      <c r="C31" s="11" t="n">
        <v>798.2</v>
      </c>
      <c r="D31" s="11" t="n">
        <v>845</v>
      </c>
      <c r="E31" s="11" t="n">
        <v>1105</v>
      </c>
      <c r="F31" s="11" t="n">
        <v>986</v>
      </c>
      <c r="G31" s="14">
        <f>'Revenue Buildup'!G5*'Assumptions'!G24</f>
        <v/>
      </c>
      <c r="H31" s="14">
        <f>'Revenue Buildup'!H5*'Assumptions'!H24</f>
        <v/>
      </c>
      <c r="I31" s="14">
        <f>'Revenue Buildup'!I5*'Assumptions'!I24</f>
        <v/>
      </c>
      <c r="J31" s="14">
        <f>'Revenue Buildup'!J5*'Assumptions'!J24</f>
        <v/>
      </c>
    </row>
    <row r="32">
      <c r="A32" s="7" t="inlineStr">
        <is>
          <t>Liabilities of disposal group (RCB)</t>
        </is>
      </c>
      <c r="B32" s="11" t="n">
        <v>0</v>
      </c>
      <c r="C32" s="11" t="n">
        <v>0</v>
      </c>
      <c r="D32" s="11" t="n">
        <v>0</v>
      </c>
      <c r="E32" s="11" t="n">
        <v>0</v>
      </c>
      <c r="F32" s="11" t="n">
        <v>327</v>
      </c>
      <c r="G32" s="11" t="n">
        <v>0</v>
      </c>
      <c r="H32" s="11" t="n">
        <v>0</v>
      </c>
      <c r="I32" s="11" t="n">
        <v>0</v>
      </c>
      <c r="J32" s="11" t="n">
        <v>0</v>
      </c>
    </row>
    <row r="33">
      <c r="A33" s="7" t="inlineStr">
        <is>
          <t xml:space="preserve">  Total liabilities (excl equity)</t>
        </is>
      </c>
      <c r="B33" s="14">
        <f>B24+B25+B26+B27+B28+B29+B30+B31+B32</f>
        <v/>
      </c>
      <c r="C33" s="14">
        <f>C24+C25+C26+C27+C28+C29+C30+C31+C32</f>
        <v/>
      </c>
      <c r="D33" s="14">
        <f>D24+D25+D26+D27+D28+D29+D30+D31+D32</f>
        <v/>
      </c>
      <c r="E33" s="14">
        <f>E24+E25+E26+E27+E28+E29+E30+E31+E32</f>
        <v/>
      </c>
      <c r="F33" s="14">
        <f>F24+F25+F26+F27+F28+F29+F30+F31+F32</f>
        <v/>
      </c>
      <c r="G33" s="14">
        <f>G24+G25+G26+G27+G28+G29+G30+G31+G32</f>
        <v/>
      </c>
      <c r="H33" s="14">
        <f>H24+H25+H26+H27+H28+H29+H30+H31+H32</f>
        <v/>
      </c>
      <c r="I33" s="14">
        <f>I24+I25+I26+I27+I28+I29+I30+I31+I32</f>
        <v/>
      </c>
      <c r="J33" s="14">
        <f>J24+J25+J26+J27+J28+J29+J30+J31+J32</f>
        <v/>
      </c>
    </row>
    <row r="34">
      <c r="A34" s="9" t="inlineStr">
        <is>
          <t>TOTAL EQUITY &amp; LIABILITIES</t>
        </is>
      </c>
      <c r="B34" s="16">
        <f>B22+B33</f>
        <v/>
      </c>
      <c r="C34" s="16">
        <f>C22+C33</f>
        <v/>
      </c>
      <c r="D34" s="16">
        <f>D22+D33</f>
        <v/>
      </c>
      <c r="E34" s="16">
        <f>E22+E33</f>
        <v/>
      </c>
      <c r="F34" s="16">
        <f>F22+F33</f>
        <v/>
      </c>
      <c r="G34" s="16">
        <f>G22+G33</f>
        <v/>
      </c>
      <c r="H34" s="16">
        <f>H22+H33</f>
        <v/>
      </c>
      <c r="I34" s="16">
        <f>I22+I33</f>
        <v/>
      </c>
      <c r="J34" s="16">
        <f>J22+J33</f>
        <v/>
      </c>
    </row>
    <row r="35">
      <c r="A35" s="7" t="inlineStr">
        <is>
          <t>Balance check (Assets - E&amp;L)</t>
        </is>
      </c>
      <c r="B35" s="13">
        <f>B20-B34</f>
        <v/>
      </c>
      <c r="C35" s="13">
        <f>C20-C34</f>
        <v/>
      </c>
      <c r="D35" s="13">
        <f>D20-D34</f>
        <v/>
      </c>
      <c r="E35" s="13">
        <f>E20-E34</f>
        <v/>
      </c>
      <c r="F35" s="13">
        <f>F20-F34</f>
        <v/>
      </c>
      <c r="G35" s="13">
        <f>G20-G34</f>
        <v/>
      </c>
      <c r="H35" s="13">
        <f>H20-H34</f>
        <v/>
      </c>
      <c r="I35" s="13">
        <f>I20-I34</f>
        <v/>
      </c>
      <c r="J35" s="13">
        <f>J20-J34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2" t="inlineStr">
        <is>
          <t>₹ crore (unless stated)</t>
        </is>
      </c>
      <c r="B2" s="4" t="inlineStr">
        <is>
          <t>FY22</t>
        </is>
      </c>
      <c r="C2" s="4" t="inlineStr">
        <is>
          <t>FY23</t>
        </is>
      </c>
      <c r="D2" s="4" t="inlineStr">
        <is>
          <t>FY24</t>
        </is>
      </c>
      <c r="E2" s="4" t="inlineStr">
        <is>
          <t>FY25</t>
        </is>
      </c>
      <c r="F2" s="4" t="inlineStr">
        <is>
          <t>FY26</t>
        </is>
      </c>
      <c r="G2" s="4" t="inlineStr">
        <is>
          <t>FY27E</t>
        </is>
      </c>
      <c r="H2" s="4" t="inlineStr">
        <is>
          <t>FY28E</t>
        </is>
      </c>
      <c r="I2" s="4" t="inlineStr">
        <is>
          <t>FY29E</t>
        </is>
      </c>
      <c r="J2" s="4" t="inlineStr">
        <is>
          <t>FY30E</t>
        </is>
      </c>
    </row>
    <row r="3">
      <c r="A3" s="9" t="inlineStr">
        <is>
          <t>PAT (reported)</t>
        </is>
      </c>
      <c r="G3" s="20">
        <f>'Income Statement'!G19</f>
        <v/>
      </c>
      <c r="H3" s="20">
        <f>'Income Statement'!H19</f>
        <v/>
      </c>
      <c r="I3" s="20">
        <f>'Income Statement'!I19</f>
        <v/>
      </c>
      <c r="J3" s="20">
        <f>'Income Statement'!J19</f>
        <v/>
      </c>
    </row>
    <row r="4">
      <c r="A4" s="7" t="inlineStr">
        <is>
          <t>+ Depreciation &amp; amortisation</t>
        </is>
      </c>
      <c r="G4" s="20">
        <f>'Income Statement'!G10</f>
        <v/>
      </c>
      <c r="H4" s="20">
        <f>'Income Statement'!H10</f>
        <v/>
      </c>
      <c r="I4" s="20">
        <f>'Income Statement'!I10</f>
        <v/>
      </c>
      <c r="J4" s="20">
        <f>'Income Statement'!J10</f>
        <v/>
      </c>
    </row>
    <row r="5">
      <c r="A5" s="7" t="inlineStr">
        <is>
          <t>+ Lease interest (add back)</t>
        </is>
      </c>
      <c r="G5" s="20">
        <f>'Lease Schedule'!G5</f>
        <v/>
      </c>
      <c r="H5" s="20">
        <f>'Lease Schedule'!H5</f>
        <v/>
      </c>
      <c r="I5" s="20">
        <f>'Lease Schedule'!I5</f>
        <v/>
      </c>
      <c r="J5" s="20">
        <f>'Lease Schedule'!J5</f>
        <v/>
      </c>
    </row>
    <row r="6">
      <c r="A6" s="7" t="inlineStr">
        <is>
          <t>+/- Change in working capital</t>
        </is>
      </c>
      <c r="G6" s="14">
        <f>('Balance Sheet'!G26-'Balance Sheet'!F26)+('Balance Sheet'!G28-'Balance Sheet'!F28)+('Balance Sheet'!G29-'Balance Sheet'!F29)+('Balance Sheet'!G31-'Balance Sheet'!F31)-('Balance Sheet'!G10-'Balance Sheet'!F10)-('Balance Sheet'!G11-'Balance Sheet'!F11)-('Balance Sheet'!G12-'Balance Sheet'!F12)-('Balance Sheet'!G16-'Balance Sheet'!F16)</f>
        <v/>
      </c>
      <c r="H6" s="14">
        <f>('Balance Sheet'!H26-'Balance Sheet'!G26)+('Balance Sheet'!H28-'Balance Sheet'!G28)+('Balance Sheet'!H29-'Balance Sheet'!G29)+('Balance Sheet'!H31-'Balance Sheet'!G31)-('Balance Sheet'!H10-'Balance Sheet'!G10)-('Balance Sheet'!H11-'Balance Sheet'!G11)-('Balance Sheet'!H12-'Balance Sheet'!G12)-('Balance Sheet'!H16-'Balance Sheet'!G16)</f>
        <v/>
      </c>
      <c r="I6" s="14">
        <f>('Balance Sheet'!I26-'Balance Sheet'!H26)+('Balance Sheet'!I28-'Balance Sheet'!H28)+('Balance Sheet'!I29-'Balance Sheet'!H29)+('Balance Sheet'!I31-'Balance Sheet'!H31)-('Balance Sheet'!I10-'Balance Sheet'!H10)-('Balance Sheet'!I11-'Balance Sheet'!H11)-('Balance Sheet'!I12-'Balance Sheet'!H12)-('Balance Sheet'!I16-'Balance Sheet'!H16)</f>
        <v/>
      </c>
      <c r="J6" s="14">
        <f>('Balance Sheet'!J26-'Balance Sheet'!I26)+('Balance Sheet'!J28-'Balance Sheet'!I28)+('Balance Sheet'!J29-'Balance Sheet'!I29)+('Balance Sheet'!J31-'Balance Sheet'!I31)-('Balance Sheet'!J10-'Balance Sheet'!I10)-('Balance Sheet'!J11-'Balance Sheet'!I11)-('Balance Sheet'!J12-'Balance Sheet'!I12)-('Balance Sheet'!J16-'Balance Sheet'!I16)</f>
        <v/>
      </c>
    </row>
    <row r="7">
      <c r="A7" s="9" t="inlineStr">
        <is>
          <t>Operating cash flow (CFO)</t>
        </is>
      </c>
      <c r="G7" s="16">
        <f>G3+G4+G5+G6</f>
        <v/>
      </c>
      <c r="H7" s="16">
        <f>H3+H4+H5+H6</f>
        <v/>
      </c>
      <c r="I7" s="16">
        <f>I3+I4+I5+I6</f>
        <v/>
      </c>
      <c r="J7" s="16">
        <f>J3+J4+J5+J6</f>
        <v/>
      </c>
    </row>
    <row r="8">
      <c r="A8" s="7" t="inlineStr">
        <is>
          <t>- Capex</t>
        </is>
      </c>
      <c r="G8" s="20">
        <f>-'PPE Schedule'!G5</f>
        <v/>
      </c>
      <c r="H8" s="20">
        <f>-'PPE Schedule'!H5</f>
        <v/>
      </c>
      <c r="I8" s="20">
        <f>-'PPE Schedule'!I5</f>
        <v/>
      </c>
      <c r="J8" s="20">
        <f>-'PPE Schedule'!J5</f>
        <v/>
      </c>
    </row>
    <row r="9">
      <c r="A9" s="7" t="inlineStr">
        <is>
          <t>+ RCB / held-for-sale disposal</t>
        </is>
      </c>
      <c r="G9" s="14">
        <f>('Balance Sheet'!F17-'Balance Sheet'!G17)-('Balance Sheet'!F32-'Balance Sheet'!G32)</f>
        <v/>
      </c>
      <c r="H9" s="14">
        <f>('Balance Sheet'!G17-'Balance Sheet'!H17)-('Balance Sheet'!G32-'Balance Sheet'!H32)</f>
        <v/>
      </c>
      <c r="I9" s="14">
        <f>('Balance Sheet'!H17-'Balance Sheet'!I17)-('Balance Sheet'!H32-'Balance Sheet'!I32)</f>
        <v/>
      </c>
      <c r="J9" s="14">
        <f>('Balance Sheet'!I17-'Balance Sheet'!J17)-('Balance Sheet'!I32-'Balance Sheet'!J32)</f>
        <v/>
      </c>
    </row>
    <row r="10">
      <c r="A10" s="9" t="inlineStr">
        <is>
          <t>Investing cash flow (CFI)</t>
        </is>
      </c>
      <c r="G10" s="16">
        <f>G8+G9</f>
        <v/>
      </c>
      <c r="H10" s="16">
        <f>H8+H9</f>
        <v/>
      </c>
      <c r="I10" s="16">
        <f>I8+I9</f>
        <v/>
      </c>
      <c r="J10" s="16">
        <f>J8+J9</f>
        <v/>
      </c>
    </row>
    <row r="11">
      <c r="A11" s="7" t="inlineStr">
        <is>
          <t>- Dividends paid</t>
        </is>
      </c>
      <c r="G11" s="20">
        <f>-'Balance Sheet'!G23</f>
        <v/>
      </c>
      <c r="H11" s="20">
        <f>-'Balance Sheet'!H23</f>
        <v/>
      </c>
      <c r="I11" s="20">
        <f>-'Balance Sheet'!I23</f>
        <v/>
      </c>
      <c r="J11" s="20">
        <f>-'Balance Sheet'!J23</f>
        <v/>
      </c>
    </row>
    <row r="12">
      <c r="A12" s="7" t="inlineStr">
        <is>
          <t>- Lease payments</t>
        </is>
      </c>
      <c r="G12" s="20">
        <f>'Lease Schedule'!G6</f>
        <v/>
      </c>
      <c r="H12" s="20">
        <f>'Lease Schedule'!H6</f>
        <v/>
      </c>
      <c r="I12" s="20">
        <f>'Lease Schedule'!I6</f>
        <v/>
      </c>
      <c r="J12" s="20">
        <f>'Lease Schedule'!J6</f>
        <v/>
      </c>
    </row>
    <row r="13">
      <c r="A13" s="7" t="inlineStr">
        <is>
          <t>+/- Change in borrowings</t>
        </is>
      </c>
      <c r="G13" s="14">
        <f>'Balance Sheet'!G24-'Balance Sheet'!F24</f>
        <v/>
      </c>
      <c r="H13" s="14">
        <f>'Balance Sheet'!H24-'Balance Sheet'!G24</f>
        <v/>
      </c>
      <c r="I13" s="14">
        <f>'Balance Sheet'!I24-'Balance Sheet'!H24</f>
        <v/>
      </c>
      <c r="J13" s="14">
        <f>'Balance Sheet'!J24-'Balance Sheet'!I24</f>
        <v/>
      </c>
    </row>
    <row r="14">
      <c r="A14" s="9" t="inlineStr">
        <is>
          <t>Financing cash flow (CFF)</t>
        </is>
      </c>
      <c r="G14" s="16">
        <f>G11+G12+G13</f>
        <v/>
      </c>
      <c r="H14" s="16">
        <f>H11+H12+H13</f>
        <v/>
      </c>
      <c r="I14" s="16">
        <f>I11+I12+I13</f>
        <v/>
      </c>
      <c r="J14" s="16">
        <f>J11+J12+J13</f>
        <v/>
      </c>
    </row>
    <row r="15">
      <c r="A15" s="9" t="inlineStr">
        <is>
          <t>Net change in cash &amp; treasury</t>
        </is>
      </c>
      <c r="G15" s="16">
        <f>G7+G10+G14</f>
        <v/>
      </c>
      <c r="H15" s="16">
        <f>H7+H10+H14</f>
        <v/>
      </c>
      <c r="I15" s="16">
        <f>I7+I10+I14</f>
        <v/>
      </c>
      <c r="J15" s="16">
        <f>J7+J10+J14</f>
        <v/>
      </c>
    </row>
    <row r="16">
      <c r="A16" s="7" t="inlineStr">
        <is>
          <t>Opening treasury</t>
        </is>
      </c>
      <c r="G16" s="20">
        <f>'Balance Sheet'!F18</f>
        <v/>
      </c>
      <c r="H16" s="20">
        <f>'Balance Sheet'!G18</f>
        <v/>
      </c>
      <c r="I16" s="20">
        <f>'Balance Sheet'!H18</f>
        <v/>
      </c>
      <c r="J16" s="20">
        <f>'Balance Sheet'!I18</f>
        <v/>
      </c>
    </row>
    <row r="17">
      <c r="A17" s="7" t="inlineStr">
        <is>
          <t>Closing treasury (= opening + net)</t>
        </is>
      </c>
      <c r="G17" s="16">
        <f>G16+G15</f>
        <v/>
      </c>
      <c r="H17" s="16">
        <f>H16+H15</f>
        <v/>
      </c>
      <c r="I17" s="16">
        <f>I16+I15</f>
        <v/>
      </c>
      <c r="J17" s="16">
        <f>J16+J15</f>
        <v/>
      </c>
    </row>
    <row r="18">
      <c r="A18" s="7" t="inlineStr">
        <is>
          <t>Tie check vs Balance Sheet</t>
        </is>
      </c>
      <c r="G18" s="13">
        <f>G17-'Balance Sheet'!G18</f>
        <v/>
      </c>
      <c r="H18" s="13">
        <f>H17-'Balance Sheet'!H18</f>
        <v/>
      </c>
      <c r="I18" s="13">
        <f>I17-'Balance Sheet'!I18</f>
        <v/>
      </c>
      <c r="J18" s="13">
        <f>J17-'Balance Sheet'!J18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9" t="inlineStr">
        <is>
          <t>DCF VALUATION — 2-stage FCFF (explicit FY27-30 + premiumisation fade FY31-36)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0" t="inlineStr">
        <is>
          <t>₹ crore</t>
        </is>
      </c>
      <c r="C3" s="4" t="inlineStr">
        <is>
          <t>FY27E</t>
        </is>
      </c>
      <c r="D3" s="4" t="inlineStr">
        <is>
          <t>FY28E</t>
        </is>
      </c>
      <c r="E3" s="4" t="inlineStr">
        <is>
          <t>FY29E</t>
        </is>
      </c>
      <c r="F3" s="4" t="inlineStr">
        <is>
          <t>FY30E</t>
        </is>
      </c>
      <c r="G3" s="4" t="inlineStr">
        <is>
          <t>FY31</t>
        </is>
      </c>
      <c r="H3" s="4" t="inlineStr">
        <is>
          <t>FY32</t>
        </is>
      </c>
      <c r="I3" s="4" t="inlineStr">
        <is>
          <t>FY33</t>
        </is>
      </c>
      <c r="J3" s="4" t="inlineStr">
        <is>
          <t>FY34</t>
        </is>
      </c>
      <c r="K3" s="4" t="inlineStr">
        <is>
          <t>FY35</t>
        </is>
      </c>
      <c r="L3" s="4" t="inlineStr">
        <is>
          <t>FY36</t>
        </is>
      </c>
    </row>
    <row r="4">
      <c r="A4" s="7" t="inlineStr">
        <is>
          <t>NSV growth % (fade inputs)</t>
        </is>
      </c>
      <c r="G4" s="8" t="n">
        <v>0.08500000000000001</v>
      </c>
      <c r="H4" s="8" t="n">
        <v>0.08</v>
      </c>
      <c r="I4" s="8" t="n">
        <v>0.075</v>
      </c>
      <c r="J4" s="8" t="n">
        <v>0.07000000000000001</v>
      </c>
      <c r="K4" s="8" t="n">
        <v>0.065</v>
      </c>
      <c r="L4" s="8" t="n">
        <v>0.06</v>
      </c>
    </row>
    <row r="5">
      <c r="A5" s="7" t="inlineStr">
        <is>
          <t>Net Sales Value</t>
        </is>
      </c>
      <c r="C5" s="20">
        <f>'Revenue Buildup'!G5</f>
        <v/>
      </c>
      <c r="D5" s="20">
        <f>'Revenue Buildup'!H5</f>
        <v/>
      </c>
      <c r="E5" s="20">
        <f>'Revenue Buildup'!I5</f>
        <v/>
      </c>
      <c r="F5" s="20">
        <f>'Revenue Buildup'!J5</f>
        <v/>
      </c>
      <c r="G5" s="14">
        <f>'Revenue Buildup'!J5*(1+G4)</f>
        <v/>
      </c>
      <c r="H5" s="14">
        <f>G5*(1+H4)</f>
        <v/>
      </c>
      <c r="I5" s="14">
        <f>H5*(1+I4)</f>
        <v/>
      </c>
      <c r="J5" s="14">
        <f>I5*(1+J4)</f>
        <v/>
      </c>
      <c r="K5" s="14">
        <f>J5*(1+K4)</f>
        <v/>
      </c>
      <c r="L5" s="14">
        <f>K5*(1+L4)</f>
        <v/>
      </c>
    </row>
    <row r="6">
      <c r="A6" s="7" t="inlineStr">
        <is>
          <t>EBITDA margin %</t>
        </is>
      </c>
      <c r="C6" s="19">
        <f>'Income Statement'!G9/'Income Statement'!G3</f>
        <v/>
      </c>
      <c r="D6" s="19">
        <f>'Income Statement'!H9/'Income Statement'!H3</f>
        <v/>
      </c>
      <c r="E6" s="19">
        <f>'Income Statement'!I9/'Income Statement'!I3</f>
        <v/>
      </c>
      <c r="F6" s="19">
        <f>'Income Statement'!J9/'Income Statement'!J3</f>
        <v/>
      </c>
      <c r="G6" s="8" t="n">
        <v>0.2083</v>
      </c>
      <c r="H6" s="8" t="n">
        <v>0.2117</v>
      </c>
      <c r="I6" s="8" t="n">
        <v>0.215</v>
      </c>
      <c r="J6" s="8" t="n">
        <v>0.2183</v>
      </c>
      <c r="K6" s="8" t="n">
        <v>0.2217</v>
      </c>
      <c r="L6" s="8" t="n">
        <v>0.225</v>
      </c>
    </row>
    <row r="7">
      <c r="A7" s="9" t="inlineStr">
        <is>
          <t>EBITDA</t>
        </is>
      </c>
      <c r="C7" s="17">
        <f>'Income Statement'!G9</f>
        <v/>
      </c>
      <c r="D7" s="17">
        <f>'Income Statement'!H9</f>
        <v/>
      </c>
      <c r="E7" s="17">
        <f>'Income Statement'!I9</f>
        <v/>
      </c>
      <c r="F7" s="17">
        <f>'Income Statement'!J9</f>
        <v/>
      </c>
      <c r="G7" s="16">
        <f>G5*G6</f>
        <v/>
      </c>
      <c r="H7" s="16">
        <f>H5*H6</f>
        <v/>
      </c>
      <c r="I7" s="16">
        <f>I5*I6</f>
        <v/>
      </c>
      <c r="J7" s="16">
        <f>J5*J6</f>
        <v/>
      </c>
      <c r="K7" s="16">
        <f>K5*K6</f>
        <v/>
      </c>
      <c r="L7" s="16">
        <f>L5*L6</f>
        <v/>
      </c>
    </row>
    <row r="8">
      <c r="A8" s="7" t="inlineStr">
        <is>
          <t>Depreciation &amp; amortisation</t>
        </is>
      </c>
      <c r="C8" s="20">
        <f>'Income Statement'!G10</f>
        <v/>
      </c>
      <c r="D8" s="20">
        <f>'Income Statement'!H10</f>
        <v/>
      </c>
      <c r="E8" s="20">
        <f>'Income Statement'!I10</f>
        <v/>
      </c>
      <c r="F8" s="20">
        <f>'Income Statement'!J10</f>
        <v/>
      </c>
      <c r="G8" s="14">
        <f>G5*('Income Statement'!J10/'Revenue Buildup'!J5)</f>
        <v/>
      </c>
      <c r="H8" s="14">
        <f>H5*('Income Statement'!J10/'Revenue Buildup'!J5)</f>
        <v/>
      </c>
      <c r="I8" s="14">
        <f>I5*('Income Statement'!J10/'Revenue Buildup'!J5)</f>
        <v/>
      </c>
      <c r="J8" s="14">
        <f>J5*('Income Statement'!J10/'Revenue Buildup'!J5)</f>
        <v/>
      </c>
      <c r="K8" s="14">
        <f>K5*('Income Statement'!J10/'Revenue Buildup'!J5)</f>
        <v/>
      </c>
      <c r="L8" s="14">
        <f>L5*('Income Statement'!J10/'Revenue Buildup'!J5)</f>
        <v/>
      </c>
    </row>
    <row r="9">
      <c r="A9" s="7" t="inlineStr">
        <is>
          <t>EBIT</t>
        </is>
      </c>
      <c r="C9" s="14">
        <f>C7-C8</f>
        <v/>
      </c>
      <c r="D9" s="14">
        <f>D7-D8</f>
        <v/>
      </c>
      <c r="E9" s="14">
        <f>E7-E8</f>
        <v/>
      </c>
      <c r="F9" s="14">
        <f>F7-F8</f>
        <v/>
      </c>
      <c r="G9" s="14">
        <f>G7-G8</f>
        <v/>
      </c>
      <c r="H9" s="14">
        <f>H7-H8</f>
        <v/>
      </c>
      <c r="I9" s="14">
        <f>I7-I8</f>
        <v/>
      </c>
      <c r="J9" s="14">
        <f>J7-J8</f>
        <v/>
      </c>
      <c r="K9" s="14">
        <f>K7-K8</f>
        <v/>
      </c>
      <c r="L9" s="14">
        <f>L7-L8</f>
        <v/>
      </c>
    </row>
    <row r="10">
      <c r="A10" s="7" t="inlineStr">
        <is>
          <t>Tax on EBIT</t>
        </is>
      </c>
      <c r="C10" s="14">
        <f>C9*'Assumptions'!G11</f>
        <v/>
      </c>
      <c r="D10" s="14">
        <f>D9*'Assumptions'!H11</f>
        <v/>
      </c>
      <c r="E10" s="14">
        <f>E9*'Assumptions'!I11</f>
        <v/>
      </c>
      <c r="F10" s="14">
        <f>F9*'Assumptions'!J11</f>
        <v/>
      </c>
      <c r="G10" s="14">
        <f>G9*0.255</f>
        <v/>
      </c>
      <c r="H10" s="14">
        <f>H9*0.255</f>
        <v/>
      </c>
      <c r="I10" s="14">
        <f>I9*0.255</f>
        <v/>
      </c>
      <c r="J10" s="14">
        <f>J9*0.255</f>
        <v/>
      </c>
      <c r="K10" s="14">
        <f>K9*0.255</f>
        <v/>
      </c>
      <c r="L10" s="14">
        <f>L9*0.255</f>
        <v/>
      </c>
    </row>
    <row r="11">
      <c r="A11" s="9" t="inlineStr">
        <is>
          <t>NOPAT</t>
        </is>
      </c>
      <c r="C11" s="16">
        <f>C9-C10</f>
        <v/>
      </c>
      <c r="D11" s="16">
        <f>D9-D10</f>
        <v/>
      </c>
      <c r="E11" s="16">
        <f>E9-E10</f>
        <v/>
      </c>
      <c r="F11" s="16">
        <f>F9-F10</f>
        <v/>
      </c>
      <c r="G11" s="16">
        <f>G9-G10</f>
        <v/>
      </c>
      <c r="H11" s="16">
        <f>H9-H10</f>
        <v/>
      </c>
      <c r="I11" s="16">
        <f>I9-I10</f>
        <v/>
      </c>
      <c r="J11" s="16">
        <f>J9-J10</f>
        <v/>
      </c>
      <c r="K11" s="16">
        <f>K9-K10</f>
        <v/>
      </c>
      <c r="L11" s="16">
        <f>L9-L10</f>
        <v/>
      </c>
    </row>
    <row r="12">
      <c r="A12" s="7" t="inlineStr">
        <is>
          <t>Capex</t>
        </is>
      </c>
      <c r="C12" s="20">
        <f>'PPE Schedule'!G5</f>
        <v/>
      </c>
      <c r="D12" s="20">
        <f>'PPE Schedule'!H5</f>
        <v/>
      </c>
      <c r="E12" s="20">
        <f>'PPE Schedule'!I5</f>
        <v/>
      </c>
      <c r="F12" s="20">
        <f>'PPE Schedule'!J5</f>
        <v/>
      </c>
      <c r="G12" s="14">
        <f>G5*0.018</f>
        <v/>
      </c>
      <c r="H12" s="14">
        <f>H5*0.018</f>
        <v/>
      </c>
      <c r="I12" s="14">
        <f>I5*0.018</f>
        <v/>
      </c>
      <c r="J12" s="14">
        <f>J5*0.018</f>
        <v/>
      </c>
      <c r="K12" s="14">
        <f>K5*0.018</f>
        <v/>
      </c>
      <c r="L12" s="14">
        <f>L5*0.018</f>
        <v/>
      </c>
    </row>
    <row r="13">
      <c r="A13" s="7" t="inlineStr">
        <is>
          <t>New leases</t>
        </is>
      </c>
      <c r="C13" s="20">
        <f>'PPE Schedule'!G10</f>
        <v/>
      </c>
      <c r="D13" s="20">
        <f>'PPE Schedule'!H10</f>
        <v/>
      </c>
      <c r="E13" s="20">
        <f>'PPE Schedule'!I10</f>
        <v/>
      </c>
      <c r="F13" s="20">
        <f>'PPE Schedule'!J10</f>
        <v/>
      </c>
      <c r="G13" s="14">
        <f>G5*0.016</f>
        <v/>
      </c>
      <c r="H13" s="14">
        <f>H5*0.016</f>
        <v/>
      </c>
      <c r="I13" s="14">
        <f>I5*0.016</f>
        <v/>
      </c>
      <c r="J13" s="14">
        <f>J5*0.016</f>
        <v/>
      </c>
      <c r="K13" s="14">
        <f>K5*0.016</f>
        <v/>
      </c>
      <c r="L13" s="14">
        <f>L5*0.016</f>
        <v/>
      </c>
    </row>
    <row r="14">
      <c r="A14" s="7" t="inlineStr">
        <is>
          <t>Increase in working capital</t>
        </is>
      </c>
      <c r="C14" s="14">
        <f>('Balance Sheet'!G10+'Balance Sheet'!G11+'Balance Sheet'!G12-'Balance Sheet'!G26-'Balance Sheet'!G31)-('Balance Sheet'!F10+'Balance Sheet'!F11+'Balance Sheet'!F12-'Balance Sheet'!F26-'Balance Sheet'!F31)</f>
        <v/>
      </c>
      <c r="D14" s="14">
        <f>('Balance Sheet'!H10+'Balance Sheet'!H11+'Balance Sheet'!H12-'Balance Sheet'!H26-'Balance Sheet'!H31)-('Balance Sheet'!G10+'Balance Sheet'!G11+'Balance Sheet'!G12-'Balance Sheet'!G26-'Balance Sheet'!G31)</f>
        <v/>
      </c>
      <c r="E14" s="14">
        <f>('Balance Sheet'!I10+'Balance Sheet'!I11+'Balance Sheet'!I12-'Balance Sheet'!I26-'Balance Sheet'!I31)-('Balance Sheet'!H10+'Balance Sheet'!H11+'Balance Sheet'!H12-'Balance Sheet'!H26-'Balance Sheet'!H31)</f>
        <v/>
      </c>
      <c r="F14" s="14">
        <f>('Balance Sheet'!J10+'Balance Sheet'!J11+'Balance Sheet'!J12-'Balance Sheet'!J26-'Balance Sheet'!J31)-('Balance Sheet'!I10+'Balance Sheet'!I11+'Balance Sheet'!I12-'Balance Sheet'!I26-'Balance Sheet'!I31)</f>
        <v/>
      </c>
      <c r="G14" s="14">
        <f>G5*G4*0.16</f>
        <v/>
      </c>
      <c r="H14" s="14">
        <f>H5*H4*0.16</f>
        <v/>
      </c>
      <c r="I14" s="14">
        <f>I5*I4*0.16</f>
        <v/>
      </c>
      <c r="J14" s="14">
        <f>J5*J4*0.16</f>
        <v/>
      </c>
      <c r="K14" s="14">
        <f>K5*K4*0.16</f>
        <v/>
      </c>
      <c r="L14" s="14">
        <f>L5*L4*0.16</f>
        <v/>
      </c>
    </row>
    <row r="15">
      <c r="A15" s="9" t="inlineStr">
        <is>
          <t>Free Cash Flow to Firm (FCFF)</t>
        </is>
      </c>
      <c r="C15" s="16">
        <f>C11+C8-C12-C13-C14</f>
        <v/>
      </c>
      <c r="D15" s="16">
        <f>D11+D8-D12-D13-D14</f>
        <v/>
      </c>
      <c r="E15" s="16">
        <f>E11+E8-E12-E13-E14</f>
        <v/>
      </c>
      <c r="F15" s="16">
        <f>F11+F8-F12-F13-F14</f>
        <v/>
      </c>
      <c r="G15" s="16">
        <f>G11+G8-G12-G13-G14</f>
        <v/>
      </c>
      <c r="H15" s="16">
        <f>H11+H8-H12-H13-H14</f>
        <v/>
      </c>
      <c r="I15" s="16">
        <f>I11+I8-I12-I13-I14</f>
        <v/>
      </c>
      <c r="J15" s="16">
        <f>J11+J8-J12-J13-J14</f>
        <v/>
      </c>
      <c r="K15" s="16">
        <f>K11+K8-K12-K13-K14</f>
        <v/>
      </c>
      <c r="L15" s="16">
        <f>L11+L8-L12-L13-L14</f>
        <v/>
      </c>
    </row>
    <row r="16">
      <c r="A16" s="7" t="inlineStr">
        <is>
          <t>Discount period</t>
        </is>
      </c>
      <c r="C16" s="11" t="n">
        <v>1</v>
      </c>
      <c r="D16" s="11" t="n">
        <v>2</v>
      </c>
      <c r="E16" s="11" t="n">
        <v>3</v>
      </c>
      <c r="F16" s="11" t="n">
        <v>4</v>
      </c>
      <c r="G16" s="11" t="n">
        <v>5</v>
      </c>
      <c r="H16" s="11" t="n">
        <v>6</v>
      </c>
      <c r="I16" s="11" t="n">
        <v>7</v>
      </c>
      <c r="J16" s="11" t="n">
        <v>8</v>
      </c>
      <c r="K16" s="11" t="n">
        <v>9</v>
      </c>
      <c r="L16" s="11" t="n">
        <v>10</v>
      </c>
    </row>
    <row r="18">
      <c r="A18" s="31" t="inlineStr">
        <is>
          <t>DCF BRIDGE</t>
        </is>
      </c>
      <c r="B18" s="2" t="n"/>
      <c r="C18" s="2" t="n"/>
    </row>
    <row r="19">
      <c r="A19" s="7" t="inlineStr">
        <is>
          <t>WACC</t>
        </is>
      </c>
      <c r="B19" s="32">
        <f>'Assumptions'!$B$40</f>
        <v/>
      </c>
    </row>
    <row r="20">
      <c r="A20" s="7" t="inlineStr">
        <is>
          <t>Terminal growth (g)</t>
        </is>
      </c>
      <c r="B20" s="32">
        <f>'Assumptions'!$B$41</f>
        <v/>
      </c>
    </row>
    <row r="21">
      <c r="A21" s="7" t="inlineStr">
        <is>
          <t>PV of explicit + fade FCFF</t>
        </is>
      </c>
      <c r="B21" s="14">
        <f>SUMPRODUCT($C$15:$L$15,(1+$B$19)^(-$C$16:$L$16))</f>
        <v/>
      </c>
    </row>
    <row r="22">
      <c r="A22" s="7" t="inlineStr">
        <is>
          <t>Terminal value (FY36)</t>
        </is>
      </c>
      <c r="B22" s="14">
        <f>$L$15*(1+$B$20)/($B$19-$B$20)</f>
        <v/>
      </c>
    </row>
    <row r="23">
      <c r="A23" s="7" t="inlineStr">
        <is>
          <t>PV of terminal value</t>
        </is>
      </c>
      <c r="B23" s="14">
        <f>$B$22/(1+$B$19)^10</f>
        <v/>
      </c>
    </row>
    <row r="24">
      <c r="A24" s="9" t="inlineStr">
        <is>
          <t>Enterprise Value</t>
        </is>
      </c>
      <c r="B24" s="14">
        <f>$B$21+$B$23</f>
        <v/>
      </c>
    </row>
    <row r="25">
      <c r="A25" s="7" t="inlineStr">
        <is>
          <t>Add: Net cash</t>
        </is>
      </c>
      <c r="B25" s="20">
        <f>-'Debt &amp; Cash'!F10</f>
        <v/>
      </c>
    </row>
    <row r="26">
      <c r="A26" s="7" t="inlineStr">
        <is>
          <t>Add: RCB optionality</t>
        </is>
      </c>
      <c r="B26" s="20">
        <f>'Assumptions'!$B$39</f>
        <v/>
      </c>
    </row>
    <row r="27">
      <c r="A27" s="9" t="inlineStr">
        <is>
          <t>Equity Value</t>
        </is>
      </c>
      <c r="B27" s="14">
        <f>$B$24+$B$25+$B$26</f>
        <v/>
      </c>
    </row>
    <row r="28">
      <c r="A28" s="9" t="inlineStr">
        <is>
          <t>DCF value per share (₹)</t>
        </is>
      </c>
      <c r="B28" s="33">
        <f>$B$27/'Assumptions'!$B$28</f>
        <v/>
      </c>
    </row>
    <row r="30">
      <c r="A30" s="31" t="inlineStr">
        <is>
          <t>SENSITIVITY — DCF value/share (₹): WACC (rows) x terminal g (cols)</t>
        </is>
      </c>
      <c r="B30" s="2" t="n"/>
      <c r="C30" s="2" t="n"/>
      <c r="D30" s="2" t="n"/>
      <c r="E30" s="2" t="n"/>
      <c r="F30" s="2" t="n"/>
      <c r="G30" s="2" t="n"/>
    </row>
    <row r="31">
      <c r="A31" s="34" t="inlineStr">
        <is>
          <t>WACC \ g</t>
        </is>
      </c>
      <c r="B31" s="35" t="n">
        <v>0.05</v>
      </c>
      <c r="C31" s="35" t="n">
        <v>0.055</v>
      </c>
      <c r="D31" s="35" t="n">
        <v>0.06</v>
      </c>
      <c r="E31" s="35" t="n">
        <v>0.065</v>
      </c>
      <c r="F31" s="35" t="n">
        <v>0.07000000000000001</v>
      </c>
    </row>
    <row r="32">
      <c r="A32" s="35" t="n">
        <v>0.095</v>
      </c>
      <c r="B32" s="36">
        <f>(SUMPRODUCT($C$15:$L$15,(1+$A$32)^(-$C$16:$L$16))+($L$15*(1+B$31)/($A$32-B$31))/(1+$A$32)^10+-'Debt &amp; Cash'!F10+'Assumptions'!$B$39)/'Assumptions'!$B$28</f>
        <v/>
      </c>
      <c r="C32" s="36">
        <f>(SUMPRODUCT($C$15:$L$15,(1+$A$32)^(-$C$16:$L$16))+($L$15*(1+C$31)/($A$32-C$31))/(1+$A$32)^10+-'Debt &amp; Cash'!F10+'Assumptions'!$B$39)/'Assumptions'!$B$28</f>
        <v/>
      </c>
      <c r="D32" s="36">
        <f>(SUMPRODUCT($C$15:$L$15,(1+$A$32)^(-$C$16:$L$16))+($L$15*(1+D$31)/($A$32-D$31))/(1+$A$32)^10+-'Debt &amp; Cash'!F10+'Assumptions'!$B$39)/'Assumptions'!$B$28</f>
        <v/>
      </c>
      <c r="E32" s="36">
        <f>(SUMPRODUCT($C$15:$L$15,(1+$A$32)^(-$C$16:$L$16))+($L$15*(1+E$31)/($A$32-E$31))/(1+$A$32)^10+-'Debt &amp; Cash'!F10+'Assumptions'!$B$39)/'Assumptions'!$B$28</f>
        <v/>
      </c>
      <c r="F32" s="36">
        <f>(SUMPRODUCT($C$15:$L$15,(1+$A$32)^(-$C$16:$L$16))+($L$15*(1+F$31)/($A$32-F$31))/(1+$A$32)^10+-'Debt &amp; Cash'!F10+'Assumptions'!$B$39)/'Assumptions'!$B$28</f>
        <v/>
      </c>
    </row>
    <row r="33">
      <c r="A33" s="35" t="n">
        <v>0.1</v>
      </c>
      <c r="B33" s="36">
        <f>(SUMPRODUCT($C$15:$L$15,(1+$A$33)^(-$C$16:$L$16))+($L$15*(1+B$31)/($A$33-B$31))/(1+$A$33)^10+-'Debt &amp; Cash'!F10+'Assumptions'!$B$39)/'Assumptions'!$B$28</f>
        <v/>
      </c>
      <c r="C33" s="36">
        <f>(SUMPRODUCT($C$15:$L$15,(1+$A$33)^(-$C$16:$L$16))+($L$15*(1+C$31)/($A$33-C$31))/(1+$A$33)^10+-'Debt &amp; Cash'!F10+'Assumptions'!$B$39)/'Assumptions'!$B$28</f>
        <v/>
      </c>
      <c r="D33" s="37">
        <f>(SUMPRODUCT($C$15:$L$15,(1+$A$33)^(-$C$16:$L$16))+($L$15*(1+D$31)/($A$33-D$31))/(1+$A$33)^10+-'Debt &amp; Cash'!F10+'Assumptions'!$B$39)/'Assumptions'!$B$28</f>
        <v/>
      </c>
      <c r="E33" s="37">
        <f>(SUMPRODUCT($C$15:$L$15,(1+$A$33)^(-$C$16:$L$16))+($L$15*(1+E$31)/($A$33-E$31))/(1+$A$33)^10+-'Debt &amp; Cash'!F10+'Assumptions'!$B$39)/'Assumptions'!$B$28</f>
        <v/>
      </c>
      <c r="F33" s="36">
        <f>(SUMPRODUCT($C$15:$L$15,(1+$A$33)^(-$C$16:$L$16))+($L$15*(1+F$31)/($A$33-F$31))/(1+$A$33)^10+-'Debt &amp; Cash'!F10+'Assumptions'!$B$39)/'Assumptions'!$B$28</f>
        <v/>
      </c>
    </row>
    <row r="34">
      <c r="A34" s="35" t="n">
        <v>0.105</v>
      </c>
      <c r="B34" s="36">
        <f>(SUMPRODUCT($C$15:$L$15,(1+$A$34)^(-$C$16:$L$16))+($L$15*(1+B$31)/($A$34-B$31))/(1+$A$34)^10+-'Debt &amp; Cash'!F10+'Assumptions'!$B$39)/'Assumptions'!$B$28</f>
        <v/>
      </c>
      <c r="C34" s="36">
        <f>(SUMPRODUCT($C$15:$L$15,(1+$A$34)^(-$C$16:$L$16))+($L$15*(1+C$31)/($A$34-C$31))/(1+$A$34)^10+-'Debt &amp; Cash'!F10+'Assumptions'!$B$39)/'Assumptions'!$B$28</f>
        <v/>
      </c>
      <c r="D34" s="37">
        <f>(SUMPRODUCT($C$15:$L$15,(1+$A$34)^(-$C$16:$L$16))+($L$15*(1+D$31)/($A$34-D$31))/(1+$A$34)^10+-'Debt &amp; Cash'!F10+'Assumptions'!$B$39)/'Assumptions'!$B$28</f>
        <v/>
      </c>
      <c r="E34" s="37">
        <f>(SUMPRODUCT($C$15:$L$15,(1+$A$34)^(-$C$16:$L$16))+($L$15*(1+E$31)/($A$34-E$31))/(1+$A$34)^10+-'Debt &amp; Cash'!F10+'Assumptions'!$B$39)/'Assumptions'!$B$28</f>
        <v/>
      </c>
      <c r="F34" s="36">
        <f>(SUMPRODUCT($C$15:$L$15,(1+$A$34)^(-$C$16:$L$16))+($L$15*(1+F$31)/($A$34-F$31))/(1+$A$34)^10+-'Debt &amp; Cash'!F10+'Assumptions'!$B$39)/'Assumptions'!$B$28</f>
        <v/>
      </c>
    </row>
    <row r="35">
      <c r="A35" s="35" t="n">
        <v>0.11</v>
      </c>
      <c r="B35" s="36">
        <f>(SUMPRODUCT($C$15:$L$15,(1+$A$35)^(-$C$16:$L$16))+($L$15*(1+B$31)/($A$35-B$31))/(1+$A$35)^10+-'Debt &amp; Cash'!F10+'Assumptions'!$B$39)/'Assumptions'!$B$28</f>
        <v/>
      </c>
      <c r="C35" s="36">
        <f>(SUMPRODUCT($C$15:$L$15,(1+$A$35)^(-$C$16:$L$16))+($L$15*(1+C$31)/($A$35-C$31))/(1+$A$35)^10+-'Debt &amp; Cash'!F10+'Assumptions'!$B$39)/'Assumptions'!$B$28</f>
        <v/>
      </c>
      <c r="D35" s="36">
        <f>(SUMPRODUCT($C$15:$L$15,(1+$A$35)^(-$C$16:$L$16))+($L$15*(1+D$31)/($A$35-D$31))/(1+$A$35)^10+-'Debt &amp; Cash'!F10+'Assumptions'!$B$39)/'Assumptions'!$B$28</f>
        <v/>
      </c>
      <c r="E35" s="36">
        <f>(SUMPRODUCT($C$15:$L$15,(1+$A$35)^(-$C$16:$L$16))+($L$15*(1+E$31)/($A$35-E$31))/(1+$A$35)^10+-'Debt &amp; Cash'!F10+'Assumptions'!$B$39)/'Assumptions'!$B$28</f>
        <v/>
      </c>
      <c r="F35" s="36">
        <f>(SUMPRODUCT($C$15:$L$15,(1+$A$35)^(-$C$16:$L$16))+($L$15*(1+F$31)/($A$35-F$31))/(1+$A$35)^10+-'Debt &amp; Cash'!F10+'Assumptions'!$B$39)/'Assumptions'!$B$28</f>
        <v/>
      </c>
    </row>
    <row r="36">
      <c r="A36" s="35" t="n">
        <v>0.115</v>
      </c>
      <c r="B36" s="36">
        <f>(SUMPRODUCT($C$15:$L$15,(1+$A$36)^(-$C$16:$L$16))+($L$15*(1+B$31)/($A$36-B$31))/(1+$A$36)^10+-'Debt &amp; Cash'!F10+'Assumptions'!$B$39)/'Assumptions'!$B$28</f>
        <v/>
      </c>
      <c r="C36" s="36">
        <f>(SUMPRODUCT($C$15:$L$15,(1+$A$36)^(-$C$16:$L$16))+($L$15*(1+C$31)/($A$36-C$31))/(1+$A$36)^10+-'Debt &amp; Cash'!F10+'Assumptions'!$B$39)/'Assumptions'!$B$28</f>
        <v/>
      </c>
      <c r="D36" s="36">
        <f>(SUMPRODUCT($C$15:$L$15,(1+$A$36)^(-$C$16:$L$16))+($L$15*(1+D$31)/($A$36-D$31))/(1+$A$36)^10+-'Debt &amp; Cash'!F10+'Assumptions'!$B$39)/'Assumptions'!$B$28</f>
        <v/>
      </c>
      <c r="E36" s="36">
        <f>(SUMPRODUCT($C$15:$L$15,(1+$A$36)^(-$C$16:$L$16))+($L$15*(1+E$31)/($A$36-E$31))/(1+$A$36)^10+-'Debt &amp; Cash'!F10+'Assumptions'!$B$39)/'Assumptions'!$B$28</f>
        <v/>
      </c>
      <c r="F36" s="36">
        <f>(SUMPRODUCT($C$15:$L$15,(1+$A$36)^(-$C$16:$L$16))+($L$15*(1+F$31)/($A$36-F$31))/(1+$A$36)^10+-'Debt &amp; Cash'!F10+'Assumptions'!$B$39)/'Assumptions'!$B$28</f>
        <v/>
      </c>
    </row>
    <row r="38">
      <c r="A38" s="28" t="inlineStr">
        <is>
          <t>Live formulas: every figure recalculates from the Assumptions sheet. Green = links to other sheets; black = calculations; blue = inputs.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29" t="inlineStr">
        <is>
          <t>TRADING COMPARABLES (market data ~10-Jun-2026)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8" t="inlineStr">
        <is>
          <t>Company</t>
        </is>
      </c>
      <c r="B2" s="38" t="inlineStr">
        <is>
          <t>MktCap</t>
        </is>
      </c>
      <c r="C2" s="38" t="inlineStr">
        <is>
          <t>EV</t>
        </is>
      </c>
      <c r="D2" s="38" t="inlineStr">
        <is>
          <t>NetRev FY26</t>
        </is>
      </c>
      <c r="E2" s="38" t="inlineStr">
        <is>
          <t>EBITDA FY26</t>
        </is>
      </c>
      <c r="F2" s="38" t="inlineStr">
        <is>
          <t>PAT FY26</t>
        </is>
      </c>
      <c r="G2" s="38" t="inlineStr">
        <is>
          <t>EV/EBITDA</t>
        </is>
      </c>
      <c r="H2" s="38" t="inlineStr">
        <is>
          <t>EV/Sales</t>
        </is>
      </c>
      <c r="I2" s="38" t="inlineStr">
        <is>
          <t>P/E</t>
        </is>
      </c>
      <c r="J2" s="38" t="inlineStr">
        <is>
          <t>EBITDA mgn</t>
        </is>
      </c>
    </row>
    <row r="3">
      <c r="A3" s="39" t="inlineStr">
        <is>
          <t>United Spirits (USL)</t>
        </is>
      </c>
      <c r="B3" s="40" t="n">
        <v>91639</v>
      </c>
      <c r="C3" s="40" t="n">
        <v>88918</v>
      </c>
      <c r="D3" s="41">
        <f>'Revenue Buildup'!F5</f>
        <v/>
      </c>
      <c r="E3" s="41">
        <f>'Income Statement'!F9</f>
        <v/>
      </c>
      <c r="F3" s="41">
        <f>'Income Statement'!F17</f>
        <v/>
      </c>
      <c r="G3" s="42">
        <f>C3/E3</f>
        <v/>
      </c>
      <c r="H3" s="42">
        <f>C3/D3</f>
        <v/>
      </c>
      <c r="I3" s="42">
        <f>B3/F3</f>
        <v/>
      </c>
      <c r="J3" s="43">
        <f>E3/D3</f>
        <v/>
      </c>
    </row>
    <row r="4">
      <c r="A4" s="44" t="inlineStr">
        <is>
          <t>Radico Khaitan</t>
        </is>
      </c>
      <c r="B4" s="11" t="n">
        <v>46854</v>
      </c>
      <c r="C4" s="11" t="n">
        <v>47264</v>
      </c>
      <c r="D4" s="11" t="n">
        <v>6050</v>
      </c>
      <c r="E4" s="11" t="n">
        <v>1033</v>
      </c>
      <c r="F4" s="11" t="n">
        <v>604</v>
      </c>
      <c r="G4" s="45">
        <f>C4/E4</f>
        <v/>
      </c>
      <c r="H4" s="45">
        <f>C4/D4</f>
        <v/>
      </c>
      <c r="I4" s="45">
        <f>B4/F4</f>
        <v/>
      </c>
      <c r="J4" s="19">
        <f>E4/D4</f>
        <v/>
      </c>
    </row>
    <row r="5">
      <c r="A5" s="44" t="inlineStr">
        <is>
          <t>Allied Blenders (ABDL)</t>
        </is>
      </c>
      <c r="B5" s="11" t="n">
        <v>11500</v>
      </c>
      <c r="C5" s="11" t="n">
        <v>12100</v>
      </c>
      <c r="D5" s="11" t="n">
        <v>3949</v>
      </c>
      <c r="E5" s="11" t="n">
        <v>568</v>
      </c>
      <c r="F5" s="11" t="n">
        <v>266</v>
      </c>
      <c r="G5" s="45">
        <f>C5/E5</f>
        <v/>
      </c>
      <c r="H5" s="45">
        <f>C5/D5</f>
        <v/>
      </c>
      <c r="I5" s="45">
        <f>B5/F5</f>
        <v/>
      </c>
      <c r="J5" s="19">
        <f>E5/D5</f>
        <v/>
      </c>
    </row>
    <row r="6">
      <c r="A6" s="44" t="inlineStr">
        <is>
          <t>Tilaknagar Inds</t>
        </is>
      </c>
      <c r="B6" s="11" t="n">
        <v>10500</v>
      </c>
      <c r="C6" s="11" t="n">
        <v>14400</v>
      </c>
      <c r="D6" s="11" t="n">
        <v>2346</v>
      </c>
      <c r="E6" s="11" t="n">
        <v>445</v>
      </c>
      <c r="F6" s="11" t="n">
        <v>145</v>
      </c>
      <c r="G6" s="45">
        <f>C6/E6</f>
        <v/>
      </c>
      <c r="H6" s="45">
        <f>C6/D6</f>
        <v/>
      </c>
      <c r="I6" s="45">
        <f>B6/F6</f>
        <v/>
      </c>
      <c r="J6" s="19">
        <f>E6/D6</f>
        <v/>
      </c>
    </row>
    <row r="7">
      <c r="A7" s="44" t="inlineStr">
        <is>
          <t>Globus Spirits</t>
        </is>
      </c>
      <c r="B7" s="11" t="n">
        <v>2839</v>
      </c>
      <c r="C7" s="11" t="n">
        <v>3198</v>
      </c>
      <c r="D7" s="11" t="n">
        <v>3625</v>
      </c>
      <c r="E7" s="11" t="n">
        <v>360</v>
      </c>
      <c r="F7" s="11" t="n">
        <v>91</v>
      </c>
      <c r="G7" s="45">
        <f>C7/E7</f>
        <v/>
      </c>
      <c r="H7" s="45">
        <f>C7/D7</f>
        <v/>
      </c>
      <c r="I7" s="45">
        <f>B7/F7</f>
        <v/>
      </c>
      <c r="J7" s="19">
        <f>E7/D7</f>
        <v/>
      </c>
    </row>
    <row r="8">
      <c r="A8" s="22" t="inlineStr">
        <is>
          <t>Peer median (ex-USL)</t>
        </is>
      </c>
      <c r="B8" s="6" t="n"/>
      <c r="C8" s="6" t="n"/>
      <c r="D8" s="6" t="n"/>
      <c r="E8" s="6" t="n"/>
      <c r="F8" s="6" t="n"/>
      <c r="G8" s="46">
        <f>MEDIAN(G4:G7)</f>
        <v/>
      </c>
      <c r="H8" s="46">
        <f>MEDIAN(H4:H7)</f>
        <v/>
      </c>
      <c r="I8" s="46">
        <f>MEDIAN(I4:I7)</f>
        <v/>
      </c>
      <c r="J8" s="47">
        <f>MEDIAN(J4:J7)</f>
        <v/>
      </c>
    </row>
    <row r="10">
      <c r="A10" s="28" t="inlineStr">
        <is>
          <t>USL NetRev/EBITDA/PAT linked live to model (green). Peers hard-coded from public data; Tilaknagar PAT normalised; ABDL figures approximate.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9" t="inlineStr">
        <is>
          <t>HISTORICAL VALUATION (FY22-FY26)</t>
        </is>
      </c>
      <c r="B1" s="2" t="n"/>
      <c r="C1" s="2" t="n"/>
      <c r="D1" s="2" t="n"/>
      <c r="E1" s="2" t="n"/>
      <c r="F1" s="2" t="n"/>
    </row>
    <row r="2">
      <c r="A2" s="3" t="inlineStr">
        <is>
          <t>₹ crore / x</t>
        </is>
      </c>
      <c r="B2" s="38" t="inlineStr">
        <is>
          <t>FY22</t>
        </is>
      </c>
      <c r="C2" s="38" t="inlineStr">
        <is>
          <t>FY23</t>
        </is>
      </c>
      <c r="D2" s="38" t="inlineStr">
        <is>
          <t>FY24</t>
        </is>
      </c>
      <c r="E2" s="38" t="inlineStr">
        <is>
          <t>FY25</t>
        </is>
      </c>
      <c r="F2" s="38" t="inlineStr">
        <is>
          <t>FY26</t>
        </is>
      </c>
    </row>
    <row r="3">
      <c r="A3" s="44" t="inlineStr">
        <is>
          <t>Market capitalisation</t>
        </is>
      </c>
      <c r="B3" s="11" t="n">
        <v>64607</v>
      </c>
      <c r="C3" s="11" t="n">
        <v>55010</v>
      </c>
      <c r="D3" s="11" t="n">
        <v>82500</v>
      </c>
      <c r="E3" s="11" t="n">
        <v>101924</v>
      </c>
      <c r="F3" s="11" t="n">
        <v>91639</v>
      </c>
    </row>
    <row r="4">
      <c r="A4" s="44" t="inlineStr">
        <is>
          <t>PAT (reported)</t>
        </is>
      </c>
      <c r="B4" s="20">
        <f>'Income Statement'!B19</f>
        <v/>
      </c>
      <c r="C4" s="20">
        <f>'Income Statement'!C19</f>
        <v/>
      </c>
      <c r="D4" s="20">
        <f>'Income Statement'!D19</f>
        <v/>
      </c>
      <c r="E4" s="20">
        <f>'Income Statement'!E19</f>
        <v/>
      </c>
      <c r="F4" s="20">
        <f>'Income Statement'!F19</f>
        <v/>
      </c>
    </row>
    <row r="5">
      <c r="A5" s="48" t="inlineStr">
        <is>
          <t>P/E (x)</t>
        </is>
      </c>
      <c r="B5" s="49">
        <f>B3/B4</f>
        <v/>
      </c>
      <c r="C5" s="49">
        <f>C3/C4</f>
        <v/>
      </c>
      <c r="D5" s="49">
        <f>D3/D4</f>
        <v/>
      </c>
      <c r="E5" s="49">
        <f>E3/E4</f>
        <v/>
      </c>
      <c r="F5" s="49">
        <f>F3/F4</f>
        <v/>
      </c>
    </row>
    <row r="6">
      <c r="A6" s="44" t="inlineStr">
        <is>
          <t>Net cash</t>
        </is>
      </c>
      <c r="B6" s="11" t="n">
        <v>-323</v>
      </c>
      <c r="C6" s="11" t="n">
        <v>955.8</v>
      </c>
      <c r="D6" s="11" t="n">
        <v>1603</v>
      </c>
      <c r="E6" s="11" t="n">
        <v>2423</v>
      </c>
      <c r="F6" s="11" t="n">
        <v>2721</v>
      </c>
    </row>
    <row r="7">
      <c r="A7" s="44" t="inlineStr">
        <is>
          <t>Enterprise value</t>
        </is>
      </c>
      <c r="B7" s="14">
        <f>B3-B6</f>
        <v/>
      </c>
      <c r="C7" s="14">
        <f>C3-C6</f>
        <v/>
      </c>
      <c r="D7" s="14">
        <f>D3-D6</f>
        <v/>
      </c>
      <c r="E7" s="14">
        <f>E3-E6</f>
        <v/>
      </c>
      <c r="F7" s="14">
        <f>F3-F6</f>
        <v/>
      </c>
    </row>
    <row r="8">
      <c r="A8" s="44" t="inlineStr">
        <is>
          <t>Core EBITDA</t>
        </is>
      </c>
      <c r="B8" s="20">
        <f>'Income Statement'!B9</f>
        <v/>
      </c>
      <c r="C8" s="20">
        <f>'Income Statement'!C9</f>
        <v/>
      </c>
      <c r="D8" s="20">
        <f>'Income Statement'!D9</f>
        <v/>
      </c>
      <c r="E8" s="20">
        <f>'Income Statement'!E9</f>
        <v/>
      </c>
      <c r="F8" s="20">
        <f>'Income Statement'!F9</f>
        <v/>
      </c>
    </row>
    <row r="9">
      <c r="A9" s="48" t="inlineStr">
        <is>
          <t>EV/EBITDA (x)</t>
        </is>
      </c>
      <c r="B9" s="49">
        <f>B7/B8</f>
        <v/>
      </c>
      <c r="C9" s="49">
        <f>C7/C8</f>
        <v/>
      </c>
      <c r="D9" s="49">
        <f>D7/D8</f>
        <v/>
      </c>
      <c r="E9" s="49">
        <f>E7/E8</f>
        <v/>
      </c>
      <c r="F9" s="49">
        <f>F7/F8</f>
        <v/>
      </c>
    </row>
    <row r="11">
      <c r="A11" s="28" t="inlineStr">
        <is>
          <t>5-yr avg P/E ~60x; current ~50x (below average). PAT &amp; EBITDA linked live to Income Statement (green).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9" t="inlineStr">
        <is>
          <t>SCENARIO ANALYSIS (FY30E outcomes &amp; 12-m target)</t>
        </is>
      </c>
      <c r="B1" s="2" t="n"/>
      <c r="C1" s="2" t="n"/>
      <c r="D1" s="2" t="n"/>
    </row>
    <row r="2">
      <c r="A2" s="38" t="inlineStr">
        <is>
          <t>Metric</t>
        </is>
      </c>
      <c r="B2" s="38" t="inlineStr">
        <is>
          <t>Bear</t>
        </is>
      </c>
      <c r="C2" s="38" t="inlineStr">
        <is>
          <t>Base</t>
        </is>
      </c>
      <c r="D2" s="38" t="inlineStr">
        <is>
          <t>Bull</t>
        </is>
      </c>
    </row>
    <row r="3">
      <c r="A3" s="44" t="inlineStr">
        <is>
          <t>FY30E Net Sales</t>
        </is>
      </c>
      <c r="B3" s="11" t="n">
        <v>15836</v>
      </c>
      <c r="C3" s="11" t="n">
        <v>18019</v>
      </c>
      <c r="D3" s="11" t="n">
        <v>19591</v>
      </c>
    </row>
    <row r="4">
      <c r="A4" s="44" t="inlineStr">
        <is>
          <t>FY30E EBITDA</t>
        </is>
      </c>
      <c r="B4" s="11" t="n">
        <v>2977</v>
      </c>
      <c r="C4" s="11" t="n">
        <v>3694</v>
      </c>
      <c r="D4" s="11" t="n">
        <v>4310</v>
      </c>
    </row>
    <row r="5">
      <c r="A5" s="44" t="inlineStr">
        <is>
          <t>FY30E PAT</t>
        </is>
      </c>
      <c r="B5" s="11" t="n">
        <v>2072</v>
      </c>
      <c r="C5" s="11" t="n">
        <v>2592</v>
      </c>
      <c r="D5" s="11" t="n">
        <v>3047</v>
      </c>
    </row>
    <row r="6">
      <c r="A6" s="44" t="inlineStr">
        <is>
          <t>FY30E EPS (₹)</t>
        </is>
      </c>
      <c r="B6" s="10" t="n">
        <v>28.47</v>
      </c>
      <c r="C6" s="10" t="n">
        <v>35.62</v>
      </c>
      <c r="D6" s="10" t="n">
        <v>41.86</v>
      </c>
    </row>
    <row r="7">
      <c r="A7" s="44" t="inlineStr">
        <is>
          <t>NSV CAGR FY26-30</t>
        </is>
      </c>
      <c r="B7" s="8" t="n">
        <v>0.0616</v>
      </c>
      <c r="C7" s="8" t="n">
        <v>0.0965</v>
      </c>
      <c r="D7" s="8" t="n">
        <v>0.1196</v>
      </c>
    </row>
    <row r="8">
      <c r="A8" s="44" t="inlineStr">
        <is>
          <t>EPS CAGR FY26-30</t>
        </is>
      </c>
      <c r="B8" s="8" t="n">
        <v>0.024</v>
      </c>
      <c r="C8" s="8" t="n">
        <v>0.083</v>
      </c>
      <c r="D8" s="8" t="n">
        <v>0.1276</v>
      </c>
    </row>
    <row r="9">
      <c r="A9" s="44" t="inlineStr">
        <is>
          <t>DCF value (₹)</t>
        </is>
      </c>
      <c r="B9" s="50" t="n">
        <v>454</v>
      </c>
      <c r="C9" s="50" t="n">
        <v>743</v>
      </c>
      <c r="D9" s="50" t="n">
        <v>1024</v>
      </c>
    </row>
    <row r="10">
      <c r="A10" s="44" t="inlineStr">
        <is>
          <t>Relative value (₹)</t>
        </is>
      </c>
      <c r="B10" s="50" t="n">
        <v>978</v>
      </c>
      <c r="C10" s="50" t="n">
        <v>1430</v>
      </c>
      <c r="D10" s="50" t="n">
        <v>1811</v>
      </c>
    </row>
    <row r="11">
      <c r="A11" s="39" t="inlineStr">
        <is>
          <t>Target price (₹)</t>
        </is>
      </c>
      <c r="B11" s="51" t="n">
        <v>768</v>
      </c>
      <c r="C11" s="51" t="n">
        <v>1155</v>
      </c>
      <c r="D11" s="51" t="n">
        <v>1496</v>
      </c>
    </row>
    <row r="12">
      <c r="A12" s="44" t="inlineStr">
        <is>
          <t>Upside/(downside) vs ₹1,259</t>
        </is>
      </c>
      <c r="B12" s="8" t="n">
        <v>-0.3898</v>
      </c>
      <c r="C12" s="8" t="n">
        <v>-0.0824</v>
      </c>
      <c r="D12" s="8" t="n">
        <v>0.1883</v>
      </c>
    </row>
    <row r="14">
      <c r="A14" s="28" t="inlineStr">
        <is>
          <t>Scenario outputs from separate runs of the model engine (bull/base/bear assumption sets). Base ties to the live DCF &amp; relative 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2026-06-11T06:27:48Z</dcterms:created>
  <dcterms:modified xsi:type="dcterms:W3CDTF">2026-06-11T06:27:48Z</dcterms:modified>
</cp:coreProperties>
</file>