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  <sheet name="Treasury &amp; NWC" sheetId="2" state="visible" r:id="rId2"/>
    <sheet name="Reconciliation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color rgb="001F4E78"/>
    </font>
    <font>
      <color rgb="002E7D32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164" fontId="2" fillId="3" borderId="1" applyAlignment="1" pivotButton="0" quotePrefix="0" xfId="0">
      <alignment horizontal="right"/>
    </xf>
    <xf numFmtId="0" fontId="0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1" pivotButton="0" quotePrefix="0" xfId="0"/>
    <xf numFmtId="164" fontId="3" fillId="0" borderId="1" applyAlignment="1" pivotButton="0" quotePrefix="0" xfId="0">
      <alignment horizontal="right"/>
    </xf>
    <xf numFmtId="0" fontId="6" fillId="0" borderId="0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B1" s="1" t="inlineStr">
        <is>
          <t>UNITED SPIRITS — HISTORICAL CASH FLOW STATEMENT (consolidated, INR cr)</t>
        </is>
      </c>
    </row>
    <row r="2">
      <c r="B2" s="2" t="inlineStr">
        <is>
          <t>Particulars (INR crore)</t>
        </is>
      </c>
      <c r="C2" s="3" t="inlineStr">
        <is>
          <t>FY2017</t>
        </is>
      </c>
      <c r="D2" s="3" t="inlineStr">
        <is>
          <t>FY2018</t>
        </is>
      </c>
      <c r="E2" s="3" t="inlineStr">
        <is>
          <t>FY2019</t>
        </is>
      </c>
      <c r="F2" s="3" t="inlineStr">
        <is>
          <t>FY2020</t>
        </is>
      </c>
      <c r="G2" s="3" t="inlineStr">
        <is>
          <t>FY2021</t>
        </is>
      </c>
      <c r="H2" s="3" t="inlineStr">
        <is>
          <t>FY2022</t>
        </is>
      </c>
      <c r="I2" s="3" t="inlineStr">
        <is>
          <t>FY2023</t>
        </is>
      </c>
      <c r="J2" s="3" t="inlineStr">
        <is>
          <t>FY2024</t>
        </is>
      </c>
      <c r="K2" s="3" t="inlineStr">
        <is>
          <t>FY2025</t>
        </is>
      </c>
      <c r="L2" s="3" t="inlineStr">
        <is>
          <t>FY2026</t>
        </is>
      </c>
    </row>
    <row r="3">
      <c r="B3" s="4" t="inlineStr">
        <is>
          <t>Net Profit After Tax (PAT)</t>
        </is>
      </c>
      <c r="C3" s="5" t="n">
        <v>93</v>
      </c>
      <c r="D3" s="5" t="n">
        <v>651.9</v>
      </c>
      <c r="E3" s="5" t="n">
        <v>683.6</v>
      </c>
      <c r="F3" s="5" t="n">
        <v>620.6</v>
      </c>
      <c r="G3" s="5" t="n">
        <v>362.1</v>
      </c>
      <c r="H3" s="5" t="n">
        <v>810.6</v>
      </c>
      <c r="I3" s="5" t="n">
        <v>1125.8</v>
      </c>
      <c r="J3" s="5" t="n">
        <v>1408</v>
      </c>
      <c r="K3" s="5" t="n">
        <v>1582</v>
      </c>
      <c r="L3" s="5" t="n">
        <v>1838</v>
      </c>
    </row>
    <row r="4">
      <c r="B4" s="4" t="inlineStr">
        <is>
          <t>+ Depreciation &amp; Amortisation</t>
        </is>
      </c>
      <c r="C4" s="5" t="n">
        <v>188.6</v>
      </c>
      <c r="D4" s="5" t="n">
        <v>192.3</v>
      </c>
      <c r="E4" s="5" t="n">
        <v>214.7</v>
      </c>
      <c r="F4" s="5" t="n">
        <v>285.3</v>
      </c>
      <c r="G4" s="5" t="n">
        <v>299.1</v>
      </c>
      <c r="H4" s="5" t="n">
        <v>303.8</v>
      </c>
      <c r="I4" s="5" t="n">
        <v>282.5</v>
      </c>
      <c r="J4" s="5" t="n">
        <v>275</v>
      </c>
      <c r="K4" s="5" t="n">
        <v>283</v>
      </c>
      <c r="L4" s="5" t="n">
        <v>289</v>
      </c>
    </row>
    <row r="5">
      <c r="B5" s="4" t="inlineStr">
        <is>
          <t>+/- Other Non-Cash Adjustments</t>
        </is>
      </c>
      <c r="C5" s="5" t="n">
        <v>333.1</v>
      </c>
      <c r="D5" s="5" t="n">
        <v>-167.8</v>
      </c>
      <c r="E5" s="5" t="n">
        <v>7.6</v>
      </c>
      <c r="F5" s="5" t="n">
        <v>-649.9</v>
      </c>
      <c r="G5" s="5" t="n">
        <v>1024.4</v>
      </c>
      <c r="H5" s="5" t="n">
        <v>8.9</v>
      </c>
      <c r="I5" s="5" t="n">
        <v>-726.1</v>
      </c>
      <c r="J5" s="5" t="n">
        <v>-356.1</v>
      </c>
      <c r="K5" s="5" t="n">
        <v>119</v>
      </c>
      <c r="L5" s="5" t="n">
        <v>-185</v>
      </c>
    </row>
    <row r="6">
      <c r="B6" s="4" t="inlineStr">
        <is>
          <t>+/- Change in Net Working Capital</t>
        </is>
      </c>
      <c r="C6" s="6">
        <f>2626.2-'Treasury &amp; NWC'!C20</f>
        <v/>
      </c>
      <c r="D6" s="6">
        <f>'Treasury &amp; NWC'!C20-'Treasury &amp; NWC'!D20</f>
        <v/>
      </c>
      <c r="E6" s="6">
        <f>'Treasury &amp; NWC'!D20-'Treasury &amp; NWC'!E20</f>
        <v/>
      </c>
      <c r="F6" s="6">
        <f>'Treasury &amp; NWC'!E20-'Treasury &amp; NWC'!F20</f>
        <v/>
      </c>
      <c r="G6" s="6">
        <f>'Treasury &amp; NWC'!F20-'Treasury &amp; NWC'!G20</f>
        <v/>
      </c>
      <c r="H6" s="6">
        <f>'Treasury &amp; NWC'!G20-'Treasury &amp; NWC'!H20</f>
        <v/>
      </c>
      <c r="I6" s="6">
        <f>'Treasury &amp; NWC'!H20-'Treasury &amp; NWC'!I20</f>
        <v/>
      </c>
      <c r="J6" s="6">
        <f>'Treasury &amp; NWC'!I20-'Treasury &amp; NWC'!J20</f>
        <v/>
      </c>
      <c r="K6" s="6">
        <f>'Treasury &amp; NWC'!J20-'Treasury &amp; NWC'!K20</f>
        <v/>
      </c>
      <c r="L6" s="6">
        <f>'Treasury &amp; NWC'!K20-'Treasury &amp; NWC'!L20</f>
        <v/>
      </c>
    </row>
    <row r="7">
      <c r="B7" s="7" t="inlineStr">
        <is>
          <t>Cash Flow from Operations (CFO)</t>
        </is>
      </c>
      <c r="C7" s="8">
        <f>C3+C4+C5+C6</f>
        <v/>
      </c>
      <c r="D7" s="8">
        <f>D3+D4+D5+D6</f>
        <v/>
      </c>
      <c r="E7" s="8">
        <f>E3+E4+E5+E6</f>
        <v/>
      </c>
      <c r="F7" s="8">
        <f>F3+F4+F5+F6</f>
        <v/>
      </c>
      <c r="G7" s="8">
        <f>G3+G4+G5+G6</f>
        <v/>
      </c>
      <c r="H7" s="8">
        <f>H3+H4+H5+H6</f>
        <v/>
      </c>
      <c r="I7" s="8">
        <f>I3+I4+I5+I6</f>
        <v/>
      </c>
      <c r="J7" s="8">
        <f>J3+J4+J5+J6</f>
        <v/>
      </c>
      <c r="K7" s="8">
        <f>K3+K4+K5+K6</f>
        <v/>
      </c>
      <c r="L7" s="8">
        <f>L3+L4+L5+L6</f>
        <v/>
      </c>
    </row>
    <row r="8">
      <c r="B8" s="4" t="inlineStr">
        <is>
          <t>+ Interest Income Received</t>
        </is>
      </c>
      <c r="C8" s="5" t="n">
        <v>19.7</v>
      </c>
      <c r="D8" s="5" t="n">
        <v>4.2</v>
      </c>
      <c r="E8" s="5" t="n">
        <v>6.4</v>
      </c>
      <c r="F8" s="5" t="n">
        <v>6.2</v>
      </c>
      <c r="G8" s="5" t="n">
        <v>11.1</v>
      </c>
      <c r="H8" s="5" t="n">
        <v>6.4</v>
      </c>
      <c r="I8" s="5" t="n">
        <v>20.4</v>
      </c>
      <c r="J8" s="5" t="n">
        <v>42</v>
      </c>
      <c r="K8" s="5" t="n">
        <v>36</v>
      </c>
      <c r="L8" s="5" t="n">
        <v>67</v>
      </c>
    </row>
    <row r="9">
      <c r="B9" s="4" t="inlineStr">
        <is>
          <t>- Capital Expenditure (Capex)</t>
        </is>
      </c>
      <c r="C9" s="5" t="n">
        <v>311</v>
      </c>
      <c r="D9" s="5" t="n">
        <v>184.3</v>
      </c>
      <c r="E9" s="5" t="n">
        <v>173</v>
      </c>
      <c r="F9" s="5" t="n">
        <v>211.6</v>
      </c>
      <c r="G9" s="5" t="n">
        <v>158.9</v>
      </c>
      <c r="H9" s="5" t="n">
        <v>134</v>
      </c>
      <c r="I9" s="5" t="n">
        <v>136.6</v>
      </c>
      <c r="J9" s="5" t="n">
        <v>98</v>
      </c>
      <c r="K9" s="5" t="n">
        <v>162</v>
      </c>
      <c r="L9" s="5" t="n">
        <v>181</v>
      </c>
    </row>
    <row r="10">
      <c r="B10" s="7" t="inlineStr">
        <is>
          <t>Free Cash Flow (FCF)</t>
        </is>
      </c>
      <c r="C10" s="8">
        <f>C7+C8-C9</f>
        <v/>
      </c>
      <c r="D10" s="8">
        <f>D7+D8-D9</f>
        <v/>
      </c>
      <c r="E10" s="8">
        <f>E7+E8-E9</f>
        <v/>
      </c>
      <c r="F10" s="8">
        <f>F7+F8-F9</f>
        <v/>
      </c>
      <c r="G10" s="8">
        <f>G7+G8-G9</f>
        <v/>
      </c>
      <c r="H10" s="8">
        <f>H7+H8-H9</f>
        <v/>
      </c>
      <c r="I10" s="8">
        <f>I7+I8-I9</f>
        <v/>
      </c>
      <c r="J10" s="8">
        <f>J7+J8-J9</f>
        <v/>
      </c>
      <c r="K10" s="8">
        <f>K7+K8-K9</f>
        <v/>
      </c>
      <c r="L10" s="8">
        <f>L7+L8-L9</f>
        <v/>
      </c>
    </row>
    <row r="11">
      <c r="B11" s="4" t="inlineStr">
        <is>
          <t>- Dividends Paid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284</v>
      </c>
      <c r="K11" s="5" t="n">
        <v>355</v>
      </c>
      <c r="L11" s="5" t="n">
        <v>1263</v>
      </c>
    </row>
    <row r="12">
      <c r="B12" s="4" t="inlineStr">
        <is>
          <t>- Lease Principal Repayment</t>
        </is>
      </c>
      <c r="C12" s="5" t="n">
        <v>8.6</v>
      </c>
      <c r="D12" s="5" t="n">
        <v>0</v>
      </c>
      <c r="E12" s="5" t="n">
        <v>0</v>
      </c>
      <c r="F12" s="5" t="n">
        <v>64.5</v>
      </c>
      <c r="G12" s="5" t="n">
        <v>80.7</v>
      </c>
      <c r="H12" s="5" t="n">
        <v>100.2</v>
      </c>
      <c r="I12" s="5" t="n">
        <v>124</v>
      </c>
      <c r="J12" s="5" t="n">
        <v>126</v>
      </c>
      <c r="K12" s="5" t="n">
        <v>137</v>
      </c>
      <c r="L12" s="5" t="n">
        <v>144</v>
      </c>
    </row>
    <row r="13">
      <c r="B13" s="4" t="inlineStr">
        <is>
          <t>+/- Net Borrowings Drawn / (Repaid)</t>
        </is>
      </c>
      <c r="C13" s="5" t="n">
        <v>-91.09999999999999</v>
      </c>
      <c r="D13" s="5" t="n">
        <v>-713.3</v>
      </c>
      <c r="E13" s="5" t="n">
        <v>-579</v>
      </c>
      <c r="F13" s="5" t="n">
        <v>-494.3</v>
      </c>
      <c r="G13" s="5" t="n">
        <v>-1484.1</v>
      </c>
      <c r="H13" s="5" t="n">
        <v>-537.7</v>
      </c>
      <c r="I13" s="5" t="n">
        <v>-340.6</v>
      </c>
      <c r="J13" s="5" t="n">
        <v>24</v>
      </c>
      <c r="K13" s="5" t="n">
        <v>-25</v>
      </c>
      <c r="L13" s="5" t="n">
        <v>-6</v>
      </c>
    </row>
    <row r="14">
      <c r="B14" s="4" t="inlineStr">
        <is>
          <t>+/- Other Investing/Financing &amp; Interest (net)</t>
        </is>
      </c>
      <c r="C14" s="5" t="n">
        <v>-306.5</v>
      </c>
      <c r="D14" s="5" t="n">
        <v>137.1</v>
      </c>
      <c r="E14" s="5" t="n">
        <v>-175.9</v>
      </c>
      <c r="F14" s="5" t="n">
        <v>-228.4</v>
      </c>
      <c r="G14" s="5" t="n">
        <v>-94.7</v>
      </c>
      <c r="H14" s="5" t="n">
        <v>-13.4</v>
      </c>
      <c r="I14" s="5" t="n">
        <v>822.8</v>
      </c>
      <c r="J14" s="5" t="n">
        <v>52.9</v>
      </c>
      <c r="K14" s="5" t="n">
        <v>-269</v>
      </c>
      <c r="L14" s="5" t="n">
        <v>299</v>
      </c>
    </row>
    <row r="15">
      <c r="B15" s="7" t="inlineStr">
        <is>
          <t>Net Change in Treasury</t>
        </is>
      </c>
      <c r="C15" s="8">
        <f>C10-C11-C12+C13+C14</f>
        <v/>
      </c>
      <c r="D15" s="8">
        <f>D10-D11-D12+D13+D14</f>
        <v/>
      </c>
      <c r="E15" s="8">
        <f>E10-E11-E12+E13+E14</f>
        <v/>
      </c>
      <c r="F15" s="8">
        <f>F10-F11-F12+F13+F14</f>
        <v/>
      </c>
      <c r="G15" s="8">
        <f>G10-G11-G12+G13+G14</f>
        <v/>
      </c>
      <c r="H15" s="8">
        <f>H10-H11-H12+H13+H14</f>
        <v/>
      </c>
      <c r="I15" s="8">
        <f>I10-I11-I12+I13+I14</f>
        <v/>
      </c>
      <c r="J15" s="8">
        <f>J10-J11-J12+J13+J14</f>
        <v/>
      </c>
      <c r="K15" s="8">
        <f>K10-K11-K12+K13+K14</f>
        <v/>
      </c>
      <c r="L15" s="8">
        <f>L10-L11-L12+L13+L14</f>
        <v/>
      </c>
    </row>
    <row r="16">
      <c r="B16" s="4" t="inlineStr">
        <is>
          <t>Opening Treasury Balance</t>
        </is>
      </c>
      <c r="C16" s="5" t="n">
        <v>138</v>
      </c>
      <c r="D16" s="8">
        <f>C17</f>
        <v/>
      </c>
      <c r="E16" s="8">
        <f>D17</f>
        <v/>
      </c>
      <c r="F16" s="8">
        <f>E17</f>
        <v/>
      </c>
      <c r="G16" s="8">
        <f>F17</f>
        <v/>
      </c>
      <c r="H16" s="8">
        <f>G17</f>
        <v/>
      </c>
      <c r="I16" s="8">
        <f>H17</f>
        <v/>
      </c>
      <c r="J16" s="8">
        <f>I17</f>
        <v/>
      </c>
      <c r="K16" s="8">
        <f>J17</f>
        <v/>
      </c>
      <c r="L16" s="8">
        <f>K17</f>
        <v/>
      </c>
    </row>
    <row r="17">
      <c r="B17" s="4" t="inlineStr">
        <is>
          <t>Closing Treasury Balance</t>
        </is>
      </c>
      <c r="C17" s="8">
        <f>C16+C15</f>
        <v/>
      </c>
      <c r="D17" s="8">
        <f>D16+D15</f>
        <v/>
      </c>
      <c r="E17" s="8">
        <f>E16+E15</f>
        <v/>
      </c>
      <c r="F17" s="8">
        <f>F16+F15</f>
        <v/>
      </c>
      <c r="G17" s="8">
        <f>G16+G15</f>
        <v/>
      </c>
      <c r="H17" s="8">
        <f>H16+H15</f>
        <v/>
      </c>
      <c r="I17" s="8">
        <f>I16+I15</f>
        <v/>
      </c>
      <c r="J17" s="8">
        <f>J16+J15</f>
        <v/>
      </c>
      <c r="K17" s="8">
        <f>K16+K15</f>
        <v/>
      </c>
      <c r="L17" s="8">
        <f>L16+L15</f>
        <v/>
      </c>
    </row>
    <row r="18">
      <c r="B18" s="4" t="inlineStr">
        <is>
          <t>Closing Treasury (Balance Sheet)</t>
        </is>
      </c>
      <c r="C18" s="6">
        <f>'Treasury &amp; NWC'!C19</f>
        <v/>
      </c>
      <c r="D18" s="6">
        <f>'Treasury &amp; NWC'!D19</f>
        <v/>
      </c>
      <c r="E18" s="6">
        <f>'Treasury &amp; NWC'!E19</f>
        <v/>
      </c>
      <c r="F18" s="6">
        <f>'Treasury &amp; NWC'!F19</f>
        <v/>
      </c>
      <c r="G18" s="6">
        <f>'Treasury &amp; NWC'!G19</f>
        <v/>
      </c>
      <c r="H18" s="6">
        <f>'Treasury &amp; NWC'!H19</f>
        <v/>
      </c>
      <c r="I18" s="6">
        <f>'Treasury &amp; NWC'!I19</f>
        <v/>
      </c>
      <c r="J18" s="6">
        <f>'Treasury &amp; NWC'!J19</f>
        <v/>
      </c>
      <c r="K18" s="6">
        <f>'Treasury &amp; NWC'!K19</f>
        <v/>
      </c>
      <c r="L18" s="6">
        <f>'Treasury &amp; NWC'!L19</f>
        <v/>
      </c>
    </row>
    <row r="19">
      <c r="B19" s="4" t="inlineStr">
        <is>
          <t>Tie Check vs Balance Sheet</t>
        </is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  <c r="H19" s="8">
        <f>H17-H18</f>
        <v/>
      </c>
      <c r="I19" s="8">
        <f>I17-I18</f>
        <v/>
      </c>
      <c r="J19" s="8">
        <f>J17-J18</f>
        <v/>
      </c>
      <c r="K19" s="8">
        <f>K17-K18</f>
        <v/>
      </c>
      <c r="L19" s="8">
        <f>L17-L18</f>
        <v/>
      </c>
    </row>
    <row r="21">
      <c r="B21" s="9" t="inlineStr">
        <is>
          <t>Colour key:  BLUE = reported input    BLACK = formula (this sheet)    GREEN = link to another sheet</t>
        </is>
      </c>
    </row>
    <row r="22">
      <c r="B22" s="9" t="inlineStr">
        <is>
          <t>CFO = PAT + D&amp;A + Other Non-Cash Adj +/- Change in NWC  (Other Non-Cash Adj sized so CFO = reported statutory CFO).</t>
        </is>
      </c>
    </row>
    <row r="23">
      <c r="B23" s="9" t="inlineStr">
        <is>
          <t>FCF = CFO + Interest Income Received - Capex.</t>
        </is>
      </c>
    </row>
    <row r="24">
      <c r="B24" s="9" t="inlineStr">
        <is>
          <t>Net Change in Treasury = FCF - Dividends - Lease principal +/- Net borrowings +/- Other investing/financing &amp; interest.</t>
        </is>
      </c>
    </row>
    <row r="25">
      <c r="B25" s="9" t="inlineStr">
        <is>
          <t>'Other Investing/Financing &amp; Interest (net)' bridges FCF to the change in the broad treasury balance: it captures</t>
        </is>
      </c>
    </row>
    <row r="26">
      <c r="B26" s="9" t="inlineStr">
        <is>
          <t xml:space="preserve">    interest PAID on debt &amp; leases, proceeds from business/subsidiary/asset disposals, JV investments, loans and FX.</t>
        </is>
      </c>
    </row>
    <row r="27">
      <c r="B27" s="9" t="inlineStr">
        <is>
          <t>Treasury = Cash &amp; cash equivalents + Bank balances + Current investments (per template). Tie check = 0.0 every year.</t>
        </is>
      </c>
    </row>
  </sheetData>
  <mergeCells count="1"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B1" s="1" t="inlineStr">
        <is>
          <t>UNITED SPIRITS — TREASURY &amp; NET WORKING CAPITAL (reported consolidated, INR cr)</t>
        </is>
      </c>
    </row>
    <row r="2">
      <c r="B2" s="2" t="inlineStr">
        <is>
          <t>Particulars (INR crore)</t>
        </is>
      </c>
      <c r="C2" s="3" t="inlineStr">
        <is>
          <t>FY2017</t>
        </is>
      </c>
      <c r="D2" s="3" t="inlineStr">
        <is>
          <t>FY2018</t>
        </is>
      </c>
      <c r="E2" s="3" t="inlineStr">
        <is>
          <t>FY2019</t>
        </is>
      </c>
      <c r="F2" s="3" t="inlineStr">
        <is>
          <t>FY2020</t>
        </is>
      </c>
      <c r="G2" s="3" t="inlineStr">
        <is>
          <t>FY2021</t>
        </is>
      </c>
      <c r="H2" s="3" t="inlineStr">
        <is>
          <t>FY2022</t>
        </is>
      </c>
      <c r="I2" s="3" t="inlineStr">
        <is>
          <t>FY2023</t>
        </is>
      </c>
      <c r="J2" s="3" t="inlineStr">
        <is>
          <t>FY2024</t>
        </is>
      </c>
      <c r="K2" s="3" t="inlineStr">
        <is>
          <t>FY2025</t>
        </is>
      </c>
      <c r="L2" s="3" t="inlineStr">
        <is>
          <t>FY2026</t>
        </is>
      </c>
    </row>
    <row r="3">
      <c r="B3" s="2" t="inlineStr">
        <is>
          <t>REPORTED BALANCE-SHEET COMPONENTS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B4" s="11" t="inlineStr">
        <is>
          <t>Cash &amp; cash equivalents</t>
        </is>
      </c>
      <c r="C4" s="5" t="n">
        <v>78.5</v>
      </c>
      <c r="D4" s="5" t="n">
        <v>141.9</v>
      </c>
      <c r="E4" s="5" t="n">
        <v>216.4</v>
      </c>
      <c r="F4" s="5" t="n">
        <v>66.09999999999999</v>
      </c>
      <c r="G4" s="5" t="n">
        <v>77.8</v>
      </c>
      <c r="H4" s="5" t="n">
        <v>54.5</v>
      </c>
      <c r="I4" s="5" t="n">
        <v>115.1</v>
      </c>
      <c r="J4" s="5" t="n">
        <v>1052</v>
      </c>
      <c r="K4" s="5" t="n">
        <v>1328</v>
      </c>
      <c r="L4" s="5" t="n">
        <v>859</v>
      </c>
    </row>
    <row r="5">
      <c r="B5" s="11" t="inlineStr">
        <is>
          <t>Bank balances (other than cash)</t>
        </is>
      </c>
      <c r="C5" s="5" t="n">
        <v>8.699999999999999</v>
      </c>
      <c r="D5" s="5" t="n">
        <v>114.1</v>
      </c>
      <c r="E5" s="5" t="n">
        <v>66.5</v>
      </c>
      <c r="F5" s="5" t="n">
        <v>7.4</v>
      </c>
      <c r="G5" s="5" t="n">
        <v>6.1</v>
      </c>
      <c r="H5" s="5" t="n">
        <v>5.8</v>
      </c>
      <c r="I5" s="5" t="n">
        <v>768.2</v>
      </c>
      <c r="J5" s="5" t="n">
        <v>217</v>
      </c>
      <c r="K5" s="5" t="n">
        <v>702</v>
      </c>
      <c r="L5" s="5" t="n">
        <v>1118</v>
      </c>
    </row>
    <row r="6">
      <c r="B6" s="11" t="inlineStr">
        <is>
          <t>Current investments</t>
        </is>
      </c>
      <c r="C6" s="5" t="n">
        <v>0.1</v>
      </c>
      <c r="D6" s="5" t="n">
        <v>0.1</v>
      </c>
      <c r="E6" s="5" t="n">
        <v>0</v>
      </c>
      <c r="F6" s="5" t="n">
        <v>0</v>
      </c>
      <c r="G6" s="5" t="n">
        <v>0</v>
      </c>
      <c r="H6" s="5" t="n">
        <v>222.1</v>
      </c>
      <c r="I6" s="5" t="n">
        <v>255.8</v>
      </c>
      <c r="J6" s="5" t="n">
        <v>599</v>
      </c>
      <c r="K6" s="5" t="n">
        <v>873</v>
      </c>
      <c r="L6" s="5" t="n">
        <v>1157</v>
      </c>
    </row>
    <row r="7">
      <c r="B7" s="11" t="inlineStr">
        <is>
          <t>Inventories</t>
        </is>
      </c>
      <c r="C7" s="5" t="n">
        <v>1927.6</v>
      </c>
      <c r="D7" s="5" t="n">
        <v>1919.7</v>
      </c>
      <c r="E7" s="5" t="n">
        <v>1934.3</v>
      </c>
      <c r="F7" s="5" t="n">
        <v>1927.5</v>
      </c>
      <c r="G7" s="5" t="n">
        <v>2051.9</v>
      </c>
      <c r="H7" s="5" t="n">
        <v>2156.7</v>
      </c>
      <c r="I7" s="5" t="n">
        <v>2230</v>
      </c>
      <c r="J7" s="5" t="n">
        <v>2063</v>
      </c>
      <c r="K7" s="5" t="n">
        <v>2305</v>
      </c>
      <c r="L7" s="5" t="n">
        <v>2668</v>
      </c>
    </row>
    <row r="8">
      <c r="B8" s="11" t="inlineStr">
        <is>
          <t>Trade receivables (current)</t>
        </is>
      </c>
      <c r="C8" s="5" t="n">
        <v>2953.4</v>
      </c>
      <c r="D8" s="5" t="n">
        <v>2711.2</v>
      </c>
      <c r="E8" s="5" t="n">
        <v>2542.5</v>
      </c>
      <c r="F8" s="5" t="n">
        <v>2283.5</v>
      </c>
      <c r="G8" s="5" t="n">
        <v>2187.2</v>
      </c>
      <c r="H8" s="5" t="n">
        <v>2373.6</v>
      </c>
      <c r="I8" s="5" t="n">
        <v>2434</v>
      </c>
      <c r="J8" s="5" t="n">
        <v>3056</v>
      </c>
      <c r="K8" s="5" t="n">
        <v>3410</v>
      </c>
      <c r="L8" s="5" t="n">
        <v>3609</v>
      </c>
    </row>
    <row r="9">
      <c r="B9" s="11" t="inlineStr">
        <is>
          <t>Other current financial assets</t>
        </is>
      </c>
      <c r="C9" s="5" t="n">
        <v>104.7</v>
      </c>
      <c r="D9" s="5" t="n">
        <v>249.3</v>
      </c>
      <c r="E9" s="5" t="n">
        <v>244.2</v>
      </c>
      <c r="F9" s="5" t="n">
        <v>305.8</v>
      </c>
      <c r="G9" s="5" t="n">
        <v>218.6</v>
      </c>
      <c r="H9" s="5" t="n">
        <v>77.2</v>
      </c>
      <c r="I9" s="5" t="n">
        <v>136</v>
      </c>
      <c r="J9" s="5" t="n">
        <v>37</v>
      </c>
      <c r="K9" s="5" t="n">
        <v>256</v>
      </c>
      <c r="L9" s="5" t="n">
        <v>57</v>
      </c>
    </row>
    <row r="10">
      <c r="B10" s="11" t="inlineStr">
        <is>
          <t>Current loans</t>
        </is>
      </c>
      <c r="C10" s="5" t="n">
        <v>0</v>
      </c>
      <c r="D10" s="5" t="n">
        <v>29.9</v>
      </c>
      <c r="E10" s="5" t="n">
        <v>16.9</v>
      </c>
      <c r="F10" s="5" t="n">
        <v>16</v>
      </c>
      <c r="G10" s="5" t="n">
        <v>15.6</v>
      </c>
      <c r="H10" s="5" t="n">
        <v>11.3</v>
      </c>
      <c r="I10" s="5" t="n">
        <v>16.3</v>
      </c>
      <c r="J10" s="5" t="n">
        <v>10</v>
      </c>
      <c r="K10" s="5" t="n">
        <v>22</v>
      </c>
      <c r="L10" s="5" t="n">
        <v>1</v>
      </c>
    </row>
    <row r="11">
      <c r="B11" s="11" t="inlineStr">
        <is>
          <t>Contract assets</t>
        </is>
      </c>
      <c r="C11" s="5" t="n">
        <v>0</v>
      </c>
      <c r="D11" s="5" t="n">
        <v>0</v>
      </c>
      <c r="E11" s="5" t="n">
        <v>10.5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</row>
    <row r="12">
      <c r="B12" s="11" t="inlineStr">
        <is>
          <t>Other current assets</t>
        </is>
      </c>
      <c r="C12" s="5" t="n">
        <v>552.2</v>
      </c>
      <c r="D12" s="5" t="n">
        <v>354</v>
      </c>
      <c r="E12" s="5" t="n">
        <v>232.5</v>
      </c>
      <c r="F12" s="5" t="n">
        <v>257</v>
      </c>
      <c r="G12" s="5" t="n">
        <v>245.8</v>
      </c>
      <c r="H12" s="5" t="n">
        <v>262.2</v>
      </c>
      <c r="I12" s="5" t="n">
        <v>279.2</v>
      </c>
      <c r="J12" s="5" t="n">
        <v>343</v>
      </c>
      <c r="K12" s="5" t="n">
        <v>306</v>
      </c>
      <c r="L12" s="5" t="n">
        <v>393</v>
      </c>
    </row>
    <row r="13">
      <c r="B13" s="11" t="inlineStr">
        <is>
          <t>Trade payables</t>
        </is>
      </c>
      <c r="C13" s="5" t="n">
        <v>1224.7</v>
      </c>
      <c r="D13" s="5" t="n">
        <v>1424.6</v>
      </c>
      <c r="E13" s="5" t="n">
        <v>1408.3</v>
      </c>
      <c r="F13" s="5" t="n">
        <v>1199.4</v>
      </c>
      <c r="G13" s="5" t="n">
        <v>1417.2</v>
      </c>
      <c r="H13" s="5" t="n">
        <v>1582.1</v>
      </c>
      <c r="I13" s="5" t="n">
        <v>1782.5</v>
      </c>
      <c r="J13" s="5" t="n">
        <v>1954</v>
      </c>
      <c r="K13" s="5" t="n">
        <v>2239</v>
      </c>
      <c r="L13" s="5" t="n">
        <v>2383</v>
      </c>
    </row>
    <row r="14">
      <c r="B14" s="11" t="inlineStr">
        <is>
          <t>Other current financial liabilities</t>
        </is>
      </c>
      <c r="C14" s="5" t="n">
        <v>957.5</v>
      </c>
      <c r="D14" s="5" t="n">
        <v>650.4</v>
      </c>
      <c r="E14" s="5" t="n">
        <v>246.4</v>
      </c>
      <c r="F14" s="5" t="n">
        <v>942.6</v>
      </c>
      <c r="G14" s="5" t="n">
        <v>199.8</v>
      </c>
      <c r="H14" s="5" t="n">
        <v>182.3</v>
      </c>
      <c r="I14" s="5" t="n">
        <v>284.6</v>
      </c>
      <c r="J14" s="5" t="n">
        <v>276</v>
      </c>
      <c r="K14" s="5" t="n">
        <v>477</v>
      </c>
      <c r="L14" s="5" t="n">
        <v>273</v>
      </c>
    </row>
    <row r="15">
      <c r="B15" s="11" t="inlineStr">
        <is>
          <t>Contract liabilities</t>
        </is>
      </c>
      <c r="C15" s="5" t="n">
        <v>0</v>
      </c>
      <c r="D15" s="5" t="n">
        <v>85</v>
      </c>
      <c r="E15" s="5" t="n">
        <v>71.90000000000001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B16" s="11" t="inlineStr">
        <is>
          <t>Provisions (current)</t>
        </is>
      </c>
      <c r="C16" s="5" t="n">
        <v>275.2</v>
      </c>
      <c r="D16" s="5" t="n">
        <v>309.3</v>
      </c>
      <c r="E16" s="5" t="n">
        <v>345.7</v>
      </c>
      <c r="F16" s="5" t="n">
        <v>453.9</v>
      </c>
      <c r="G16" s="5" t="n">
        <v>573.8</v>
      </c>
      <c r="H16" s="5" t="n">
        <v>488</v>
      </c>
      <c r="I16" s="5" t="n">
        <v>373.1</v>
      </c>
      <c r="J16" s="5" t="n">
        <v>368</v>
      </c>
      <c r="K16" s="5" t="n">
        <v>375</v>
      </c>
      <c r="L16" s="5" t="n">
        <v>500</v>
      </c>
    </row>
    <row r="17">
      <c r="B17" s="11" t="inlineStr">
        <is>
          <t>Other current liabilities</t>
        </is>
      </c>
      <c r="C17" s="5" t="n">
        <v>486.4</v>
      </c>
      <c r="D17" s="5" t="n">
        <v>449.4</v>
      </c>
      <c r="E17" s="5" t="n">
        <v>605.6</v>
      </c>
      <c r="F17" s="5" t="n">
        <v>418.1</v>
      </c>
      <c r="G17" s="5" t="n">
        <v>884.6</v>
      </c>
      <c r="H17" s="5" t="n">
        <v>839</v>
      </c>
      <c r="I17" s="5" t="n">
        <v>798.2</v>
      </c>
      <c r="J17" s="5" t="n">
        <v>845</v>
      </c>
      <c r="K17" s="5" t="n">
        <v>1105</v>
      </c>
      <c r="L17" s="5" t="n">
        <v>986</v>
      </c>
    </row>
    <row r="18">
      <c r="B18" s="4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B19" s="7" t="inlineStr">
        <is>
          <t>Treasury = Cash + Bank + Current investments</t>
        </is>
      </c>
      <c r="C19" s="8">
        <f>C4+C5+C6</f>
        <v/>
      </c>
      <c r="D19" s="8">
        <f>D4+D5+D6</f>
        <v/>
      </c>
      <c r="E19" s="8">
        <f>E4+E5+E6</f>
        <v/>
      </c>
      <c r="F19" s="8">
        <f>F4+F5+F6</f>
        <v/>
      </c>
      <c r="G19" s="8">
        <f>G4+G5+G6</f>
        <v/>
      </c>
      <c r="H19" s="8">
        <f>H4+H5+H6</f>
        <v/>
      </c>
      <c r="I19" s="8">
        <f>I4+I5+I6</f>
        <v/>
      </c>
      <c r="J19" s="8">
        <f>J4+J5+J6</f>
        <v/>
      </c>
      <c r="K19" s="8">
        <f>K4+K5+K6</f>
        <v/>
      </c>
      <c r="L19" s="8">
        <f>L4+L5+L6</f>
        <v/>
      </c>
    </row>
    <row r="20">
      <c r="B20" s="7" t="inlineStr">
        <is>
          <t>Net Working Capital (operating)</t>
        </is>
      </c>
      <c r="C20" s="8">
        <f>(C7+C8+C9+C10+C11+C12)-(C13+C14+C15+C16+C17)</f>
        <v/>
      </c>
      <c r="D20" s="8">
        <f>(D7+D8+D9+D10+D11+D12)-(D13+D14+D15+D16+D17)</f>
        <v/>
      </c>
      <c r="E20" s="8">
        <f>(E7+E8+E9+E10+E11+E12)-(E13+E14+E15+E16+E17)</f>
        <v/>
      </c>
      <c r="F20" s="8">
        <f>(F7+F8+F9+F10+F11+F12)-(F13+F14+F15+F16+F17)</f>
        <v/>
      </c>
      <c r="G20" s="8">
        <f>(G7+G8+G9+G10+G11+G12)-(G13+G14+G15+G16+G17)</f>
        <v/>
      </c>
      <c r="H20" s="8">
        <f>(H7+H8+H9+H10+H11+H12)-(H13+H14+H15+H16+H17)</f>
        <v/>
      </c>
      <c r="I20" s="8">
        <f>(I7+I8+I9+I10+I11+I12)-(I13+I14+I15+I16+I17)</f>
        <v/>
      </c>
      <c r="J20" s="8">
        <f>(J7+J8+J9+J10+J11+J12)-(J13+J14+J15+J16+J17)</f>
        <v/>
      </c>
      <c r="K20" s="8">
        <f>(K7+K8+K9+K10+K11+K12)-(K13+K14+K15+K16+K17)</f>
        <v/>
      </c>
      <c r="L20" s="8">
        <f>(L7+L8+L9+L10+L11+L12)-(L13+L14+L15+L16+L17)</f>
        <v/>
      </c>
    </row>
  </sheetData>
  <mergeCells count="1"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B1" s="1" t="inlineStr">
        <is>
          <t>RECONCILIATION — reported CFO &amp; FCF-to-Treasury bridge (INR cr)</t>
        </is>
      </c>
    </row>
    <row r="2">
      <c r="B2" s="2" t="inlineStr">
        <is>
          <t>Particulars (INR crore)</t>
        </is>
      </c>
      <c r="C2" s="3" t="inlineStr">
        <is>
          <t>FY2017</t>
        </is>
      </c>
      <c r="D2" s="3" t="inlineStr">
        <is>
          <t>FY2018</t>
        </is>
      </c>
      <c r="E2" s="3" t="inlineStr">
        <is>
          <t>FY2019</t>
        </is>
      </c>
      <c r="F2" s="3" t="inlineStr">
        <is>
          <t>FY2020</t>
        </is>
      </c>
      <c r="G2" s="3" t="inlineStr">
        <is>
          <t>FY2021</t>
        </is>
      </c>
      <c r="H2" s="3" t="inlineStr">
        <is>
          <t>FY2022</t>
        </is>
      </c>
      <c r="I2" s="3" t="inlineStr">
        <is>
          <t>FY2023</t>
        </is>
      </c>
      <c r="J2" s="3" t="inlineStr">
        <is>
          <t>FY2024</t>
        </is>
      </c>
      <c r="K2" s="3" t="inlineStr">
        <is>
          <t>FY2025</t>
        </is>
      </c>
      <c r="L2" s="3" t="inlineStr">
        <is>
          <t>FY2026</t>
        </is>
      </c>
    </row>
    <row r="3">
      <c r="B3" s="11" t="inlineStr">
        <is>
          <t>Reported statutory CFO (per filings)</t>
        </is>
      </c>
      <c r="C3" s="5" t="n">
        <v>646.8</v>
      </c>
      <c r="D3" s="5" t="n">
        <v>925.1</v>
      </c>
      <c r="E3" s="5" t="n">
        <v>948.3</v>
      </c>
      <c r="F3" s="5" t="n">
        <v>783.2</v>
      </c>
      <c r="G3" s="5" t="n">
        <v>1817.7</v>
      </c>
      <c r="H3" s="5" t="n">
        <v>977.4</v>
      </c>
      <c r="I3" s="5" t="n">
        <v>614.7</v>
      </c>
      <c r="J3" s="5" t="n">
        <v>1118</v>
      </c>
      <c r="K3" s="5" t="n">
        <v>1947</v>
      </c>
      <c r="L3" s="5" t="n">
        <v>1459</v>
      </c>
    </row>
    <row r="4">
      <c r="B4" s="11" t="inlineStr">
        <is>
          <t>Model CFO (this workbook)</t>
        </is>
      </c>
      <c r="C4" s="6">
        <f>'Cash Flow'!C7</f>
        <v/>
      </c>
      <c r="D4" s="6">
        <f>'Cash Flow'!D7</f>
        <v/>
      </c>
      <c r="E4" s="6">
        <f>'Cash Flow'!E7</f>
        <v/>
      </c>
      <c r="F4" s="6">
        <f>'Cash Flow'!F7</f>
        <v/>
      </c>
      <c r="G4" s="6">
        <f>'Cash Flow'!G7</f>
        <v/>
      </c>
      <c r="H4" s="6">
        <f>'Cash Flow'!H7</f>
        <v/>
      </c>
      <c r="I4" s="6">
        <f>'Cash Flow'!I7</f>
        <v/>
      </c>
      <c r="J4" s="6">
        <f>'Cash Flow'!J7</f>
        <v/>
      </c>
      <c r="K4" s="6">
        <f>'Cash Flow'!K7</f>
        <v/>
      </c>
      <c r="L4" s="6">
        <f>'Cash Flow'!L7</f>
        <v/>
      </c>
    </row>
    <row r="5">
      <c r="B5" s="2" t="inlineStr">
        <is>
          <t>Difference (should be 0)</t>
        </is>
      </c>
      <c r="C5" s="8">
        <f>C3-C4</f>
        <v/>
      </c>
      <c r="D5" s="8">
        <f>D3-D4</f>
        <v/>
      </c>
      <c r="E5" s="8">
        <f>E3-E4</f>
        <v/>
      </c>
      <c r="F5" s="8">
        <f>F3-F4</f>
        <v/>
      </c>
      <c r="G5" s="8">
        <f>G3-G4</f>
        <v/>
      </c>
      <c r="H5" s="8">
        <f>H3-H4</f>
        <v/>
      </c>
      <c r="I5" s="8">
        <f>I3-I4</f>
        <v/>
      </c>
      <c r="J5" s="8">
        <f>J3-J4</f>
        <v/>
      </c>
      <c r="K5" s="8">
        <f>K3-K4</f>
        <v/>
      </c>
      <c r="L5" s="8">
        <f>L3-L4</f>
        <v/>
      </c>
    </row>
    <row r="6">
      <c r="B6" s="11" t="inlineStr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Interest paid (borrowings + leases)</t>
        </is>
      </c>
      <c r="C7" s="5" t="n">
        <v>375.2</v>
      </c>
      <c r="D7" s="5" t="n">
        <v>252.8</v>
      </c>
      <c r="E7" s="5" t="n">
        <v>229.3</v>
      </c>
      <c r="F7" s="5" t="n">
        <v>181.1</v>
      </c>
      <c r="G7" s="5" t="n">
        <v>142</v>
      </c>
      <c r="H7" s="5" t="n">
        <v>50.1</v>
      </c>
      <c r="I7" s="5" t="n">
        <v>36.3</v>
      </c>
      <c r="J7" s="5" t="n">
        <v>21</v>
      </c>
      <c r="K7" s="5" t="n">
        <v>40</v>
      </c>
      <c r="L7" s="5" t="n">
        <v>37</v>
      </c>
    </row>
    <row r="8">
      <c r="B8" s="11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B9" s="11" t="inlineStr">
        <is>
          <t>Closing treasury - Opening treasury (BS move)</t>
        </is>
      </c>
      <c r="C9" s="6">
        <f>'Cash Flow'!C18-'Cash Flow'!C16</f>
        <v/>
      </c>
      <c r="D9" s="6">
        <f>'Cash Flow'!D18-'Cash Flow'!D16</f>
        <v/>
      </c>
      <c r="E9" s="6">
        <f>'Cash Flow'!E18-'Cash Flow'!E16</f>
        <v/>
      </c>
      <c r="F9" s="6">
        <f>'Cash Flow'!F18-'Cash Flow'!F16</f>
        <v/>
      </c>
      <c r="G9" s="6">
        <f>'Cash Flow'!G18-'Cash Flow'!G16</f>
        <v/>
      </c>
      <c r="H9" s="6">
        <f>'Cash Flow'!H18-'Cash Flow'!H16</f>
        <v/>
      </c>
      <c r="I9" s="6">
        <f>'Cash Flow'!I18-'Cash Flow'!I16</f>
        <v/>
      </c>
      <c r="J9" s="6">
        <f>'Cash Flow'!J18-'Cash Flow'!J16</f>
        <v/>
      </c>
      <c r="K9" s="6">
        <f>'Cash Flow'!K18-'Cash Flow'!K16</f>
        <v/>
      </c>
      <c r="L9" s="6">
        <f>'Cash Flow'!L18-'Cash Flow'!L16</f>
        <v/>
      </c>
    </row>
    <row r="10">
      <c r="B10" s="11" t="inlineStr">
        <is>
          <t>FCF - Dividends - Lease +/- Net borrowings</t>
        </is>
      </c>
      <c r="C10" s="6">
        <f>'Cash Flow'!C10-'Cash Flow'!C11-'Cash Flow'!C12+'Cash Flow'!C13</f>
        <v/>
      </c>
      <c r="D10" s="6">
        <f>'Cash Flow'!D10-'Cash Flow'!D11-'Cash Flow'!D12+'Cash Flow'!D13</f>
        <v/>
      </c>
      <c r="E10" s="6">
        <f>'Cash Flow'!E10-'Cash Flow'!E11-'Cash Flow'!E12+'Cash Flow'!E13</f>
        <v/>
      </c>
      <c r="F10" s="6">
        <f>'Cash Flow'!F10-'Cash Flow'!F11-'Cash Flow'!F12+'Cash Flow'!F13</f>
        <v/>
      </c>
      <c r="G10" s="6">
        <f>'Cash Flow'!G10-'Cash Flow'!G11-'Cash Flow'!G12+'Cash Flow'!G13</f>
        <v/>
      </c>
      <c r="H10" s="6">
        <f>'Cash Flow'!H10-'Cash Flow'!H11-'Cash Flow'!H12+'Cash Flow'!H13</f>
        <v/>
      </c>
      <c r="I10" s="6">
        <f>'Cash Flow'!I10-'Cash Flow'!I11-'Cash Flow'!I12+'Cash Flow'!I13</f>
        <v/>
      </c>
      <c r="J10" s="6">
        <f>'Cash Flow'!J10-'Cash Flow'!J11-'Cash Flow'!J12+'Cash Flow'!J13</f>
        <v/>
      </c>
      <c r="K10" s="6">
        <f>'Cash Flow'!K10-'Cash Flow'!K11-'Cash Flow'!K12+'Cash Flow'!K13</f>
        <v/>
      </c>
      <c r="L10" s="6">
        <f>'Cash Flow'!L10-'Cash Flow'!L11-'Cash Flow'!L12+'Cash Flow'!L13</f>
        <v/>
      </c>
    </row>
    <row r="11">
      <c r="B11" s="2" t="inlineStr">
        <is>
          <t>Implied 'Other Investing/Financing &amp; Interest (net)'</t>
        </is>
      </c>
      <c r="C11" s="8">
        <f>C9-C10</f>
        <v/>
      </c>
      <c r="D11" s="8">
        <f>D9-D10</f>
        <v/>
      </c>
      <c r="E11" s="8">
        <f>E9-E10</f>
        <v/>
      </c>
      <c r="F11" s="8">
        <f>F9-F10</f>
        <v/>
      </c>
      <c r="G11" s="8">
        <f>G9-G10</f>
        <v/>
      </c>
      <c r="H11" s="8">
        <f>H9-H10</f>
        <v/>
      </c>
      <c r="I11" s="8">
        <f>I9-I10</f>
        <v/>
      </c>
      <c r="J11" s="8">
        <f>J9-J10</f>
        <v/>
      </c>
      <c r="K11" s="8">
        <f>K9-K10</f>
        <v/>
      </c>
      <c r="L11" s="8">
        <f>L9-L10</f>
        <v/>
      </c>
    </row>
  </sheetData>
  <mergeCells count="1">
    <mergeCell ref="B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0" customWidth="1" min="3" max="3"/>
  </cols>
  <sheetData>
    <row r="1">
      <c r="B1" s="12" t="inlineStr">
        <is>
          <t>SOURCES &amp; PROVENANCE — all figures reported, consolidated</t>
        </is>
      </c>
    </row>
    <row r="2">
      <c r="B2" s="13" t="inlineStr">
        <is>
          <t>Years</t>
        </is>
      </c>
      <c r="C2" s="14" t="inlineStr">
        <is>
          <t>Source file (this repo)</t>
        </is>
      </c>
    </row>
    <row r="3">
      <c r="B3" s="15" t="inlineStr">
        <is>
          <t>FY2016 &amp; FY2017</t>
        </is>
      </c>
      <c r="C3" s="14" t="inlineStr">
        <is>
          <t>FY2017.pdf — Consolidated BS p.190-191, P&amp;L p.192-193, Cash Flow p.194-195 (INR mn / 10)</t>
        </is>
      </c>
    </row>
    <row r="4">
      <c r="B4" s="15" t="inlineStr">
        <is>
          <t>FY2018 &amp; FY2019</t>
        </is>
      </c>
      <c r="C4" s="14" t="inlineStr">
        <is>
          <t>FY2019.pdf — Consolidated BS p.212-213, P&amp;L p.214-215, Cash Flow p.216-217 (INR mn / 10)</t>
        </is>
      </c>
    </row>
    <row r="5">
      <c r="B5" s="15" t="inlineStr">
        <is>
          <t>FY2020 &amp; FY2021</t>
        </is>
      </c>
      <c r="C5" s="14" t="inlineStr">
        <is>
          <t>FY2021.pdf — Consolidated BS p.176-177, P&amp;L p.178-179, Cash Flow p.181-182 (INR mn / 10)</t>
        </is>
      </c>
    </row>
    <row r="6">
      <c r="B6" s="15" t="inlineStr">
        <is>
          <t>FY2022 &amp; FY2023</t>
        </is>
      </c>
      <c r="C6" s="14" t="inlineStr">
        <is>
          <t>FY2023_compressed.pdf — Consolidated BS p.259-260, P&amp;L p.261, Cash Flow p.264-265 (INR mn / 10)</t>
        </is>
      </c>
    </row>
    <row r="7">
      <c r="B7" s="15" t="inlineStr">
        <is>
          <t>FY2024 &amp; FY2025</t>
        </is>
      </c>
      <c r="C7" s="14" t="inlineStr">
        <is>
          <t>FY2025_compressed.pdf — Consolidated BS p.206, P&amp;L p.207, Cash Flow p.208-209 (INR cr)</t>
        </is>
      </c>
    </row>
    <row r="8">
      <c r="B8" s="15" t="inlineStr">
        <is>
          <t>FY2026</t>
        </is>
      </c>
      <c r="C8" s="14" t="inlineStr">
        <is>
          <t>'fy 2026.xlsx' — audited consolidated results filed 14-May-2026 (INR cr)</t>
        </is>
      </c>
    </row>
    <row r="9">
      <c r="B9" s="15" t="inlineStr"/>
      <c r="C9" s="14" t="inlineStr"/>
    </row>
    <row r="10">
      <c r="B10" s="13" t="inlineStr">
        <is>
          <t>Notes</t>
        </is>
      </c>
      <c r="C10" s="14" t="inlineStr"/>
    </row>
    <row r="11">
      <c r="B11" s="15" t="inlineStr">
        <is>
          <t>Treasury</t>
        </is>
      </c>
      <c r="C11" s="14" t="inlineStr">
        <is>
          <t>Cash &amp; cash equivalents + Bank balances (other than cash) + Current investments.</t>
        </is>
      </c>
    </row>
    <row r="12">
      <c r="B12" s="15" t="inlineStr">
        <is>
          <t>NWC</t>
        </is>
      </c>
      <c r="C12" s="14" t="inlineStr">
        <is>
          <t>Operating current assets less operating current liabilities; excludes cash, bank, current</t>
        </is>
      </c>
    </row>
    <row r="13">
      <c r="B13" s="15" t="inlineStr"/>
      <c r="C13" s="14" t="inlineStr">
        <is>
          <t>investments, current tax, borrowings, lease liabilities and dividend payable.</t>
        </is>
      </c>
    </row>
    <row r="14">
      <c r="B14" s="15" t="inlineStr">
        <is>
          <t>Leases</t>
        </is>
      </c>
      <c r="C14" s="14" t="inlineStr">
        <is>
          <t>Ind AS 116 adopted FY2020; lease principal repayment shown from FY2020 (FY2017 = finance-lease pmt).</t>
        </is>
      </c>
    </row>
    <row r="15">
      <c r="B15" s="15" t="inlineStr">
        <is>
          <t>Dividends</t>
        </is>
      </c>
      <c r="C15" s="14" t="inlineStr">
        <is>
          <t>Cash dividends paid (financing activities): nil FY2017-FY2023; FY24 284, FY25 355, FY26 1,263 cr.</t>
        </is>
      </c>
    </row>
    <row r="16">
      <c r="B16" s="15" t="inlineStr">
        <is>
          <t>One-offs</t>
        </is>
      </c>
      <c r="C16" s="14" t="inlineStr">
        <is>
          <t>FY2017: goodwill impairment / large exceptional charge &amp; receivables write-offs (PAT trough).</t>
        </is>
      </c>
    </row>
    <row r="17">
      <c r="B17" s="15" t="inlineStr"/>
      <c r="C17" s="14" t="inlineStr">
        <is>
          <t>FY2023: +817 cr exceptional gain; ~818 cr proceeds from sale of a business undertaking.</t>
        </is>
      </c>
    </row>
    <row r="18">
      <c r="B18" s="15" t="inlineStr"/>
      <c r="C18" s="14" t="inlineStr">
        <is>
          <t>FY2026: 1,263 cr dividend; RCB/Sports reclassified discontinued / held-for-sale.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2026-06-16T10:18:20Z</dcterms:created>
  <dcterms:modified xsi:type="dcterms:W3CDTF">2026-06-16T10:18:20Z</dcterms:modified>
</cp:coreProperties>
</file>